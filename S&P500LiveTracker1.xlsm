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tdand\Downloads\"/>
    </mc:Choice>
  </mc:AlternateContent>
  <xr:revisionPtr revIDLastSave="0" documentId="13_ncr:1_{E2FC13EC-30F7-41A3-83EC-BA223341E9C1}" xr6:coauthVersionLast="47" xr6:coauthVersionMax="47" xr10:uidLastSave="{00000000-0000-0000-0000-000000000000}"/>
  <bookViews>
    <workbookView xWindow="2205" yWindow="2760" windowWidth="21600" windowHeight="11385" xr2:uid="{91166777-379F-4FCA-B474-40C8501CEB3C}"/>
  </bookViews>
  <sheets>
    <sheet name="S&amp;P Weighted" sheetId="2" r:id="rId1"/>
    <sheet name="Industry analysis" sheetId="3" r:id="rId2"/>
    <sheet name="Price Changes" sheetId="4" r:id="rId3"/>
  </sheets>
  <definedNames>
    <definedName name="ExternalData_1" localSheetId="0" hidden="1">'S&amp;P Weighted'!$A$3:$H$506</definedName>
  </definedNames>
  <calcPr calcId="191029"/>
  <pivotCaches>
    <pivotCache cacheId="0" r:id="rId4"/>
    <pivotCache cacheId="1"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 i="2" l="1" a="1"/>
  <c r="D4" i="2" s="1"/>
  <c r="D5" i="2" a="1"/>
  <c r="D5" i="2" s="1"/>
  <c r="D6" i="2" a="1"/>
  <c r="D6" i="2" s="1"/>
  <c r="D7" i="2" a="1"/>
  <c r="D7" i="2" s="1"/>
  <c r="D8" i="2" a="1"/>
  <c r="D8" i="2" s="1"/>
  <c r="D9" i="2" a="1"/>
  <c r="D9" i="2" s="1"/>
  <c r="D10" i="2" a="1"/>
  <c r="D10" i="2" s="1"/>
  <c r="D11" i="2" a="1"/>
  <c r="D11" i="2" s="1"/>
  <c r="D12" i="2" a="1"/>
  <c r="D12" i="2" s="1"/>
  <c r="D13" i="2" a="1"/>
  <c r="D13" i="2" s="1"/>
  <c r="D14" i="2" a="1"/>
  <c r="D14" i="2" s="1"/>
  <c r="D15" i="2" a="1"/>
  <c r="D15" i="2" s="1"/>
  <c r="D16" i="2" a="1"/>
  <c r="D16" i="2" s="1"/>
  <c r="D17" i="2" a="1"/>
  <c r="D17" i="2" s="1"/>
  <c r="D18" i="2" a="1"/>
  <c r="D18" i="2" s="1"/>
  <c r="D19" i="2" a="1"/>
  <c r="D19" i="2" s="1"/>
  <c r="D20" i="2" a="1"/>
  <c r="D20" i="2" s="1"/>
  <c r="D21" i="2" a="1"/>
  <c r="D21" i="2" s="1"/>
  <c r="D22" i="2" a="1"/>
  <c r="D22" i="2" s="1"/>
  <c r="D23" i="2" a="1"/>
  <c r="D23" i="2" s="1"/>
  <c r="D24" i="2" a="1"/>
  <c r="D24" i="2" s="1"/>
  <c r="D25" i="2" a="1"/>
  <c r="D25" i="2" s="1"/>
  <c r="D26" i="2" a="1"/>
  <c r="D26" i="2" s="1"/>
  <c r="D27" i="2" a="1"/>
  <c r="D27" i="2" s="1"/>
  <c r="D28" i="2" a="1"/>
  <c r="D28" i="2" s="1"/>
  <c r="D29" i="2" a="1"/>
  <c r="D29" i="2" s="1"/>
  <c r="D30" i="2" a="1"/>
  <c r="D30" i="2" s="1"/>
  <c r="D31" i="2" a="1"/>
  <c r="D31" i="2" s="1"/>
  <c r="D32" i="2" a="1"/>
  <c r="D32" i="2" s="1"/>
  <c r="D33" i="2" a="1"/>
  <c r="D33" i="2" s="1"/>
  <c r="D34" i="2" a="1"/>
  <c r="D34" i="2" s="1"/>
  <c r="D35" i="2" a="1"/>
  <c r="D35" i="2" s="1"/>
  <c r="D36" i="2" a="1"/>
  <c r="D36" i="2" s="1"/>
  <c r="D37" i="2" a="1"/>
  <c r="D37" i="2" s="1"/>
  <c r="D38" i="2" a="1"/>
  <c r="D38" i="2" s="1"/>
  <c r="D39" i="2" a="1"/>
  <c r="D39" i="2" s="1"/>
  <c r="D40" i="2" a="1"/>
  <c r="D40" i="2" s="1"/>
  <c r="D41" i="2" a="1"/>
  <c r="D41" i="2" s="1"/>
  <c r="D42" i="2" a="1"/>
  <c r="D42" i="2" s="1"/>
  <c r="D43" i="2" a="1"/>
  <c r="D43" i="2" s="1"/>
  <c r="D44" i="2" a="1"/>
  <c r="D44" i="2" s="1"/>
  <c r="D45" i="2" a="1"/>
  <c r="D45" i="2" s="1"/>
  <c r="D46" i="2" a="1"/>
  <c r="D46" i="2" s="1"/>
  <c r="D47" i="2" a="1"/>
  <c r="D47" i="2" s="1"/>
  <c r="D48" i="2" a="1"/>
  <c r="D48" i="2" s="1"/>
  <c r="D49" i="2" a="1"/>
  <c r="D49" i="2" s="1"/>
  <c r="D50" i="2" a="1"/>
  <c r="D50" i="2" s="1"/>
  <c r="D51" i="2" a="1"/>
  <c r="D51" i="2" s="1"/>
  <c r="D52" i="2" a="1"/>
  <c r="D52" i="2" s="1"/>
  <c r="D53" i="2" a="1"/>
  <c r="D53" i="2" s="1"/>
  <c r="D54" i="2" a="1"/>
  <c r="D54" i="2" s="1"/>
  <c r="D55" i="2" a="1"/>
  <c r="D55" i="2" s="1"/>
  <c r="D56" i="2" a="1"/>
  <c r="D56" i="2" s="1"/>
  <c r="D57" i="2" a="1"/>
  <c r="D57" i="2" s="1"/>
  <c r="D58" i="2" a="1"/>
  <c r="D58" i="2" s="1"/>
  <c r="D59" i="2" a="1"/>
  <c r="D59" i="2" s="1"/>
  <c r="D60" i="2" a="1"/>
  <c r="D60" i="2" s="1"/>
  <c r="D61" i="2" a="1"/>
  <c r="D61" i="2" s="1"/>
  <c r="D62" i="2" a="1"/>
  <c r="D62" i="2" s="1"/>
  <c r="D63" i="2" a="1"/>
  <c r="D63" i="2" s="1"/>
  <c r="D64" i="2" a="1"/>
  <c r="D64" i="2" s="1"/>
  <c r="D65" i="2" a="1"/>
  <c r="D65" i="2" s="1"/>
  <c r="D66" i="2" a="1"/>
  <c r="D66" i="2" s="1"/>
  <c r="D67" i="2" a="1"/>
  <c r="D67" i="2" s="1"/>
  <c r="D68" i="2" a="1"/>
  <c r="D68" i="2" s="1"/>
  <c r="D69" i="2" a="1"/>
  <c r="D69" i="2" s="1"/>
  <c r="D70" i="2" a="1"/>
  <c r="D70" i="2" s="1"/>
  <c r="D71" i="2" a="1"/>
  <c r="D71" i="2" s="1"/>
  <c r="D72" i="2" a="1"/>
  <c r="D72" i="2" s="1"/>
  <c r="D73" i="2" a="1"/>
  <c r="D73" i="2" s="1"/>
  <c r="D74" i="2" a="1"/>
  <c r="D74" i="2" s="1"/>
  <c r="D75" i="2" a="1"/>
  <c r="D75" i="2" s="1"/>
  <c r="D76" i="2" a="1"/>
  <c r="D76" i="2" s="1"/>
  <c r="D77" i="2" a="1"/>
  <c r="D77" i="2" s="1"/>
  <c r="D78" i="2" a="1"/>
  <c r="D78" i="2" s="1"/>
  <c r="D79" i="2" a="1"/>
  <c r="D79" i="2" s="1"/>
  <c r="D80" i="2" a="1"/>
  <c r="D80" i="2" s="1"/>
  <c r="D81" i="2" a="1"/>
  <c r="D81" i="2" s="1"/>
  <c r="D82" i="2" a="1"/>
  <c r="D82" i="2" s="1"/>
  <c r="D83" i="2" a="1"/>
  <c r="D83" i="2" s="1"/>
  <c r="D84" i="2" a="1"/>
  <c r="D84" i="2" s="1"/>
  <c r="D85" i="2" a="1"/>
  <c r="D85" i="2" s="1"/>
  <c r="D86" i="2" a="1"/>
  <c r="D86" i="2" s="1"/>
  <c r="D87" i="2" a="1"/>
  <c r="D87" i="2" s="1"/>
  <c r="D88" i="2" a="1"/>
  <c r="D88" i="2" s="1"/>
  <c r="D89" i="2" a="1"/>
  <c r="D89" i="2" s="1"/>
  <c r="D90" i="2" a="1"/>
  <c r="D90" i="2" s="1"/>
  <c r="D91" i="2" a="1"/>
  <c r="D91" i="2" s="1"/>
  <c r="D92" i="2" a="1"/>
  <c r="D92" i="2" s="1"/>
  <c r="D93" i="2" a="1"/>
  <c r="D93" i="2" s="1"/>
  <c r="D94" i="2" a="1"/>
  <c r="D94" i="2" s="1"/>
  <c r="D95" i="2" a="1"/>
  <c r="D95" i="2" s="1"/>
  <c r="D96" i="2" a="1"/>
  <c r="D96" i="2" s="1"/>
  <c r="D97" i="2" a="1"/>
  <c r="D97" i="2" s="1"/>
  <c r="D98" i="2" a="1"/>
  <c r="D98" i="2" s="1"/>
  <c r="D99" i="2" a="1"/>
  <c r="D99" i="2" s="1"/>
  <c r="D100" i="2" a="1"/>
  <c r="D100" i="2" s="1"/>
  <c r="D101" i="2" a="1"/>
  <c r="D101" i="2" s="1"/>
  <c r="D102" i="2" a="1"/>
  <c r="D102" i="2" s="1"/>
  <c r="D103" i="2" a="1"/>
  <c r="D103" i="2" s="1"/>
  <c r="D104" i="2" a="1"/>
  <c r="D104" i="2" s="1"/>
  <c r="D105" i="2" a="1"/>
  <c r="D105" i="2" s="1"/>
  <c r="D106" i="2" a="1"/>
  <c r="D106" i="2" s="1"/>
  <c r="D107" i="2" a="1"/>
  <c r="D107" i="2" s="1"/>
  <c r="D108" i="2" a="1"/>
  <c r="D108" i="2" s="1"/>
  <c r="D109" i="2" a="1"/>
  <c r="D109" i="2" s="1"/>
  <c r="D110" i="2" a="1"/>
  <c r="D110" i="2" s="1"/>
  <c r="D111" i="2" a="1"/>
  <c r="D111" i="2" s="1"/>
  <c r="D112" i="2" a="1"/>
  <c r="D112" i="2" s="1"/>
  <c r="D113" i="2" a="1"/>
  <c r="D113" i="2" s="1"/>
  <c r="D114" i="2" a="1"/>
  <c r="D114" i="2" s="1"/>
  <c r="D115" i="2" a="1"/>
  <c r="D115" i="2" s="1"/>
  <c r="D116" i="2" a="1"/>
  <c r="D116" i="2" s="1"/>
  <c r="D117" i="2" a="1"/>
  <c r="D117" i="2" s="1"/>
  <c r="D118" i="2" a="1"/>
  <c r="D118" i="2" s="1"/>
  <c r="D119" i="2" a="1"/>
  <c r="D119" i="2" s="1"/>
  <c r="D120" i="2" a="1"/>
  <c r="D120" i="2" s="1"/>
  <c r="D121" i="2" a="1"/>
  <c r="D121" i="2" s="1"/>
  <c r="D122" i="2" a="1"/>
  <c r="D122" i="2" s="1"/>
  <c r="D123" i="2" a="1"/>
  <c r="D123" i="2" s="1"/>
  <c r="D124" i="2" a="1"/>
  <c r="D124" i="2" s="1"/>
  <c r="D125" i="2" a="1"/>
  <c r="D125" i="2" s="1"/>
  <c r="D126" i="2" a="1"/>
  <c r="D126" i="2" s="1"/>
  <c r="D127" i="2" a="1"/>
  <c r="D127" i="2" s="1"/>
  <c r="D128" i="2" a="1"/>
  <c r="D128" i="2" s="1"/>
  <c r="D129" i="2" a="1"/>
  <c r="D129" i="2" s="1"/>
  <c r="D130" i="2" a="1"/>
  <c r="D130" i="2" s="1"/>
  <c r="D131" i="2" a="1"/>
  <c r="D131" i="2" s="1"/>
  <c r="D132" i="2" a="1"/>
  <c r="D132" i="2" s="1"/>
  <c r="D133" i="2" a="1"/>
  <c r="D133" i="2" s="1"/>
  <c r="D134" i="2" a="1"/>
  <c r="D134" i="2" s="1"/>
  <c r="D135" i="2" a="1"/>
  <c r="D135" i="2" s="1"/>
  <c r="D136" i="2" a="1"/>
  <c r="D136" i="2" s="1"/>
  <c r="D137" i="2" a="1"/>
  <c r="D137" i="2" s="1"/>
  <c r="D138" i="2" a="1"/>
  <c r="D138" i="2" s="1"/>
  <c r="D139" i="2" a="1"/>
  <c r="D139" i="2" s="1"/>
  <c r="D140" i="2" a="1"/>
  <c r="D140" i="2" s="1"/>
  <c r="D141" i="2" a="1"/>
  <c r="D141" i="2" s="1"/>
  <c r="D142" i="2" a="1"/>
  <c r="D142" i="2" s="1"/>
  <c r="D143" i="2" a="1"/>
  <c r="D143" i="2" s="1"/>
  <c r="D144" i="2" a="1"/>
  <c r="D144" i="2" s="1"/>
  <c r="D145" i="2" a="1"/>
  <c r="D145" i="2" s="1"/>
  <c r="D146" i="2" a="1"/>
  <c r="D146" i="2" s="1"/>
  <c r="D147" i="2" a="1"/>
  <c r="D147" i="2" s="1"/>
  <c r="D148" i="2" a="1"/>
  <c r="D148" i="2" s="1"/>
  <c r="D149" i="2" a="1"/>
  <c r="D149" i="2" s="1"/>
  <c r="D150" i="2" a="1"/>
  <c r="D150" i="2" s="1"/>
  <c r="D151" i="2" a="1"/>
  <c r="D151" i="2" s="1"/>
  <c r="D152" i="2" a="1"/>
  <c r="D152" i="2" s="1"/>
  <c r="D153" i="2" a="1"/>
  <c r="D153" i="2" s="1"/>
  <c r="D154" i="2" a="1"/>
  <c r="D154" i="2" s="1"/>
  <c r="D155" i="2" a="1"/>
  <c r="D155" i="2" s="1"/>
  <c r="D156" i="2" a="1"/>
  <c r="D156" i="2" s="1"/>
  <c r="D157" i="2" a="1"/>
  <c r="D157" i="2" s="1"/>
  <c r="D158" i="2" a="1"/>
  <c r="D158" i="2" s="1"/>
  <c r="D159" i="2" a="1"/>
  <c r="D159" i="2" s="1"/>
  <c r="D160" i="2" a="1"/>
  <c r="D160" i="2" s="1"/>
  <c r="D161" i="2" a="1"/>
  <c r="D161" i="2" s="1"/>
  <c r="D162" i="2" a="1"/>
  <c r="D162" i="2" s="1"/>
  <c r="D163" i="2" a="1"/>
  <c r="D163" i="2" s="1"/>
  <c r="D164" i="2" a="1"/>
  <c r="D164" i="2" s="1"/>
  <c r="D165" i="2" a="1"/>
  <c r="D165" i="2" s="1"/>
  <c r="D166" i="2" a="1"/>
  <c r="D166" i="2" s="1"/>
  <c r="D167" i="2" a="1"/>
  <c r="D167" i="2" s="1"/>
  <c r="D168" i="2" a="1"/>
  <c r="D168" i="2" s="1"/>
  <c r="D169" i="2" a="1"/>
  <c r="D169" i="2" s="1"/>
  <c r="D170" i="2" a="1"/>
  <c r="D170" i="2" s="1"/>
  <c r="D171" i="2" a="1"/>
  <c r="D171" i="2" s="1"/>
  <c r="D172" i="2" a="1"/>
  <c r="D172" i="2" s="1"/>
  <c r="D173" i="2" a="1"/>
  <c r="D173" i="2" s="1"/>
  <c r="D174" i="2" a="1"/>
  <c r="D174" i="2" s="1"/>
  <c r="D175" i="2" a="1"/>
  <c r="D175" i="2" s="1"/>
  <c r="D176" i="2" a="1"/>
  <c r="D176" i="2" s="1"/>
  <c r="D177" i="2" a="1"/>
  <c r="D177" i="2" s="1"/>
  <c r="D178" i="2" a="1"/>
  <c r="D178" i="2" s="1"/>
  <c r="D179" i="2" a="1"/>
  <c r="D179" i="2" s="1"/>
  <c r="D180" i="2" a="1"/>
  <c r="D180" i="2" s="1"/>
  <c r="D181" i="2" a="1"/>
  <c r="D181" i="2" s="1"/>
  <c r="D182" i="2" a="1"/>
  <c r="D182" i="2" s="1"/>
  <c r="D183" i="2" a="1"/>
  <c r="D183" i="2" s="1"/>
  <c r="D184" i="2" a="1"/>
  <c r="D184" i="2" s="1"/>
  <c r="D185" i="2" a="1"/>
  <c r="D185" i="2" s="1"/>
  <c r="D186" i="2" a="1"/>
  <c r="D186" i="2" s="1"/>
  <c r="D187" i="2" a="1"/>
  <c r="D187" i="2" s="1"/>
  <c r="D188" i="2" a="1"/>
  <c r="D188" i="2" s="1"/>
  <c r="D189" i="2" a="1"/>
  <c r="D189" i="2" s="1"/>
  <c r="D190" i="2" a="1"/>
  <c r="D190" i="2" s="1"/>
  <c r="D191" i="2" a="1"/>
  <c r="D191" i="2" s="1"/>
  <c r="D192" i="2" a="1"/>
  <c r="D192" i="2" s="1"/>
  <c r="D193" i="2" a="1"/>
  <c r="D193" i="2" s="1"/>
  <c r="D194" i="2" a="1"/>
  <c r="D194" i="2" s="1"/>
  <c r="D195" i="2" a="1"/>
  <c r="D195" i="2" s="1"/>
  <c r="D196" i="2" a="1"/>
  <c r="D196" i="2" s="1"/>
  <c r="D197" i="2" a="1"/>
  <c r="D197" i="2" s="1"/>
  <c r="D198" i="2" a="1"/>
  <c r="D198" i="2" s="1"/>
  <c r="D199" i="2" a="1"/>
  <c r="D199" i="2" s="1"/>
  <c r="D200" i="2" a="1"/>
  <c r="D200" i="2" s="1"/>
  <c r="D201" i="2" a="1"/>
  <c r="D201" i="2" s="1"/>
  <c r="D202" i="2" a="1"/>
  <c r="D202" i="2" s="1"/>
  <c r="D203" i="2" a="1"/>
  <c r="D203" i="2" s="1"/>
  <c r="D204" i="2" a="1"/>
  <c r="D204" i="2" s="1"/>
  <c r="D205" i="2" a="1"/>
  <c r="D205" i="2" s="1"/>
  <c r="D206" i="2" a="1"/>
  <c r="D206" i="2" s="1"/>
  <c r="D207" i="2" a="1"/>
  <c r="D207" i="2" s="1"/>
  <c r="D208" i="2" a="1"/>
  <c r="D208" i="2" s="1"/>
  <c r="D209" i="2" a="1"/>
  <c r="D209" i="2" s="1"/>
  <c r="D210" i="2" a="1"/>
  <c r="D210" i="2" s="1"/>
  <c r="D211" i="2" a="1"/>
  <c r="D211" i="2" s="1"/>
  <c r="D212" i="2" a="1"/>
  <c r="D212" i="2" s="1"/>
  <c r="D213" i="2" a="1"/>
  <c r="D213" i="2" s="1"/>
  <c r="D214" i="2" a="1"/>
  <c r="D214" i="2" s="1"/>
  <c r="D215" i="2" a="1"/>
  <c r="D215" i="2" s="1"/>
  <c r="D216" i="2" a="1"/>
  <c r="D216" i="2" s="1"/>
  <c r="D217" i="2" a="1"/>
  <c r="D217" i="2" s="1"/>
  <c r="D218" i="2" a="1"/>
  <c r="D218" i="2" s="1"/>
  <c r="D219" i="2" a="1"/>
  <c r="D219" i="2" s="1"/>
  <c r="D220" i="2" a="1"/>
  <c r="D220" i="2" s="1"/>
  <c r="D221" i="2" a="1"/>
  <c r="D221" i="2" s="1"/>
  <c r="D222" i="2" a="1"/>
  <c r="D222" i="2" s="1"/>
  <c r="D223" i="2" a="1"/>
  <c r="D223" i="2" s="1"/>
  <c r="D224" i="2" a="1"/>
  <c r="D224" i="2" s="1"/>
  <c r="D225" i="2" a="1"/>
  <c r="D225" i="2" s="1"/>
  <c r="D226" i="2" a="1"/>
  <c r="D226" i="2" s="1"/>
  <c r="D227" i="2" a="1"/>
  <c r="D227" i="2" s="1"/>
  <c r="D228" i="2" a="1"/>
  <c r="D228" i="2" s="1"/>
  <c r="D229" i="2" a="1"/>
  <c r="D229" i="2" s="1"/>
  <c r="D230" i="2" a="1"/>
  <c r="D230" i="2" s="1"/>
  <c r="D231" i="2" a="1"/>
  <c r="D231" i="2" s="1"/>
  <c r="D232" i="2" a="1"/>
  <c r="D232" i="2" s="1"/>
  <c r="D233" i="2" a="1"/>
  <c r="D233" i="2" s="1"/>
  <c r="D234" i="2" a="1"/>
  <c r="D234" i="2" s="1"/>
  <c r="D235" i="2" a="1"/>
  <c r="D235" i="2" s="1"/>
  <c r="D236" i="2" a="1"/>
  <c r="D236" i="2" s="1"/>
  <c r="D237" i="2" a="1"/>
  <c r="D237" i="2" s="1"/>
  <c r="D238" i="2" a="1"/>
  <c r="D238" i="2" s="1"/>
  <c r="D239" i="2" a="1"/>
  <c r="D239" i="2" s="1"/>
  <c r="D240" i="2" a="1"/>
  <c r="D240" i="2" s="1"/>
  <c r="D241" i="2" a="1"/>
  <c r="D241" i="2" s="1"/>
  <c r="D242" i="2" a="1"/>
  <c r="D242" i="2" s="1"/>
  <c r="D243" i="2" a="1"/>
  <c r="D243" i="2" s="1"/>
  <c r="D244" i="2" a="1"/>
  <c r="D244" i="2" s="1"/>
  <c r="D245" i="2" a="1"/>
  <c r="D245" i="2" s="1"/>
  <c r="D246" i="2" a="1"/>
  <c r="D246" i="2" s="1"/>
  <c r="D247" i="2" a="1"/>
  <c r="D247" i="2" s="1"/>
  <c r="D248" i="2" a="1"/>
  <c r="D248" i="2" s="1"/>
  <c r="D249" i="2" a="1"/>
  <c r="D249" i="2" s="1"/>
  <c r="D250" i="2" a="1"/>
  <c r="D250" i="2" s="1"/>
  <c r="D251" i="2" a="1"/>
  <c r="D251" i="2" s="1"/>
  <c r="D252" i="2" a="1"/>
  <c r="D252" i="2" s="1"/>
  <c r="D253" i="2" a="1"/>
  <c r="D253" i="2" s="1"/>
  <c r="D254" i="2" a="1"/>
  <c r="D254" i="2" s="1"/>
  <c r="D255" i="2" a="1"/>
  <c r="D255" i="2" s="1"/>
  <c r="D256" i="2" a="1"/>
  <c r="D256" i="2" s="1"/>
  <c r="D257" i="2" a="1"/>
  <c r="D257" i="2" s="1"/>
  <c r="D258" i="2" a="1"/>
  <c r="D258" i="2" s="1"/>
  <c r="D259" i="2" a="1"/>
  <c r="D259" i="2" s="1"/>
  <c r="D260" i="2" a="1"/>
  <c r="D260" i="2" s="1"/>
  <c r="D261" i="2" a="1"/>
  <c r="D261" i="2"/>
  <c r="D262" i="2" a="1"/>
  <c r="D262" i="2"/>
  <c r="D263" i="2" a="1"/>
  <c r="D263" i="2" s="1"/>
  <c r="D264" i="2" a="1"/>
  <c r="D264" i="2" s="1"/>
  <c r="D265" i="2" a="1"/>
  <c r="D265" i="2" s="1"/>
  <c r="D266" i="2" a="1"/>
  <c r="D266" i="2" s="1"/>
  <c r="D267" i="2" a="1"/>
  <c r="D267" i="2" s="1"/>
  <c r="D268" i="2" a="1"/>
  <c r="D268" i="2" s="1"/>
  <c r="D269" i="2" a="1"/>
  <c r="D269" i="2" s="1"/>
  <c r="D270" i="2" a="1"/>
  <c r="D270" i="2" s="1"/>
  <c r="D271" i="2" a="1"/>
  <c r="D271" i="2" s="1"/>
  <c r="D272" i="2" a="1"/>
  <c r="D272" i="2" s="1"/>
  <c r="D273" i="2" a="1"/>
  <c r="D273" i="2" s="1"/>
  <c r="D274" i="2" a="1"/>
  <c r="D274" i="2" s="1"/>
  <c r="D275" i="2" a="1"/>
  <c r="D275" i="2" s="1"/>
  <c r="D276" i="2" a="1"/>
  <c r="D276" i="2" s="1"/>
  <c r="D277" i="2" a="1"/>
  <c r="D277" i="2" s="1"/>
  <c r="D278" i="2" a="1"/>
  <c r="D278" i="2" s="1"/>
  <c r="D279" i="2" a="1"/>
  <c r="D279" i="2" s="1"/>
  <c r="D280" i="2" a="1"/>
  <c r="D280" i="2" s="1"/>
  <c r="D281" i="2" a="1"/>
  <c r="D281" i="2" s="1"/>
  <c r="D282" i="2" a="1"/>
  <c r="D282" i="2" s="1"/>
  <c r="D283" i="2" a="1"/>
  <c r="D283" i="2" s="1"/>
  <c r="D284" i="2" a="1"/>
  <c r="D284" i="2" s="1"/>
  <c r="D285" i="2" a="1"/>
  <c r="D285" i="2" s="1"/>
  <c r="D286" i="2" a="1"/>
  <c r="D286" i="2" s="1"/>
  <c r="D287" i="2" a="1"/>
  <c r="D287" i="2" s="1"/>
  <c r="D288" i="2" a="1"/>
  <c r="D288" i="2" s="1"/>
  <c r="D289" i="2" a="1"/>
  <c r="D289" i="2" s="1"/>
  <c r="D290" i="2" a="1"/>
  <c r="D290" i="2" s="1"/>
  <c r="D291" i="2" a="1"/>
  <c r="D291" i="2" s="1"/>
  <c r="D292" i="2" a="1"/>
  <c r="D292" i="2" s="1"/>
  <c r="D293" i="2" a="1"/>
  <c r="D293" i="2" s="1"/>
  <c r="D294" i="2" a="1"/>
  <c r="D294" i="2" s="1"/>
  <c r="D295" i="2" a="1"/>
  <c r="D295" i="2" s="1"/>
  <c r="D296" i="2" a="1"/>
  <c r="D296" i="2" s="1"/>
  <c r="D297" i="2" a="1"/>
  <c r="D297" i="2" s="1"/>
  <c r="D298" i="2" a="1"/>
  <c r="D298" i="2" s="1"/>
  <c r="D299" i="2" a="1"/>
  <c r="D299" i="2" s="1"/>
  <c r="D300" i="2" a="1"/>
  <c r="D300" i="2" s="1"/>
  <c r="D301" i="2" a="1"/>
  <c r="D301" i="2" s="1"/>
  <c r="D302" i="2" a="1"/>
  <c r="D302" i="2" s="1"/>
  <c r="D303" i="2" a="1"/>
  <c r="D303" i="2" s="1"/>
  <c r="D304" i="2" a="1"/>
  <c r="D304" i="2" s="1"/>
  <c r="D305" i="2" a="1"/>
  <c r="D305" i="2" s="1"/>
  <c r="D306" i="2" a="1"/>
  <c r="D306" i="2" s="1"/>
  <c r="D307" i="2" a="1"/>
  <c r="D307" i="2" s="1"/>
  <c r="D308" i="2" a="1"/>
  <c r="D308" i="2" s="1"/>
  <c r="D309" i="2" a="1"/>
  <c r="D309" i="2" s="1"/>
  <c r="D310" i="2" a="1"/>
  <c r="D310" i="2" s="1"/>
  <c r="D311" i="2" a="1"/>
  <c r="D311" i="2" s="1"/>
  <c r="D312" i="2" a="1"/>
  <c r="D312" i="2" s="1"/>
  <c r="D313" i="2" a="1"/>
  <c r="D313" i="2" s="1"/>
  <c r="D314" i="2" a="1"/>
  <c r="D314" i="2" s="1"/>
  <c r="D315" i="2" a="1"/>
  <c r="D315" i="2" s="1"/>
  <c r="D316" i="2" a="1"/>
  <c r="D316" i="2" s="1"/>
  <c r="D317" i="2" a="1"/>
  <c r="D317" i="2" s="1"/>
  <c r="D318" i="2" a="1"/>
  <c r="D318" i="2" s="1"/>
  <c r="D319" i="2" a="1"/>
  <c r="D319" i="2" s="1"/>
  <c r="D320" i="2" a="1"/>
  <c r="D320" i="2" s="1"/>
  <c r="D321" i="2" a="1"/>
  <c r="D321" i="2" s="1"/>
  <c r="D322" i="2" a="1"/>
  <c r="D322" i="2" s="1"/>
  <c r="D323" i="2" a="1"/>
  <c r="D323" i="2" s="1"/>
  <c r="D324" i="2" a="1"/>
  <c r="D324" i="2" s="1"/>
  <c r="D325" i="2" a="1"/>
  <c r="D325" i="2" s="1"/>
  <c r="D326" i="2" a="1"/>
  <c r="D326" i="2" s="1"/>
  <c r="D327" i="2" a="1"/>
  <c r="D327" i="2" s="1"/>
  <c r="D328" i="2" a="1"/>
  <c r="D328" i="2" s="1"/>
  <c r="D329" i="2" a="1"/>
  <c r="D329" i="2" s="1"/>
  <c r="D330" i="2" a="1"/>
  <c r="D330" i="2" s="1"/>
  <c r="D331" i="2" a="1"/>
  <c r="D331" i="2" s="1"/>
  <c r="D332" i="2" a="1"/>
  <c r="D332" i="2" s="1"/>
  <c r="D333" i="2" a="1"/>
  <c r="D333" i="2" s="1"/>
  <c r="D334" i="2" a="1"/>
  <c r="D334" i="2" s="1"/>
  <c r="D335" i="2" a="1"/>
  <c r="D335" i="2" s="1"/>
  <c r="D336" i="2" a="1"/>
  <c r="D336" i="2" s="1"/>
  <c r="D337" i="2" a="1"/>
  <c r="D337" i="2" s="1"/>
  <c r="D338" i="2" a="1"/>
  <c r="D338" i="2" s="1"/>
  <c r="D339" i="2" a="1"/>
  <c r="D339" i="2" s="1"/>
  <c r="D340" i="2" a="1"/>
  <c r="D340" i="2" s="1"/>
  <c r="D341" i="2" a="1"/>
  <c r="D341" i="2" s="1"/>
  <c r="D342" i="2" a="1"/>
  <c r="D342" i="2" s="1"/>
  <c r="D343" i="2" a="1"/>
  <c r="D343" i="2" s="1"/>
  <c r="D344" i="2" a="1"/>
  <c r="D344" i="2" s="1"/>
  <c r="D345" i="2" a="1"/>
  <c r="D345" i="2" s="1"/>
  <c r="D346" i="2" a="1"/>
  <c r="D346" i="2" s="1"/>
  <c r="D347" i="2" a="1"/>
  <c r="D347" i="2" s="1"/>
  <c r="D348" i="2" a="1"/>
  <c r="D348" i="2" s="1"/>
  <c r="D349" i="2" a="1"/>
  <c r="D349" i="2" s="1"/>
  <c r="D350" i="2" a="1"/>
  <c r="D350" i="2" s="1"/>
  <c r="D351" i="2" a="1"/>
  <c r="D351" i="2" s="1"/>
  <c r="D352" i="2" a="1"/>
  <c r="D352" i="2" s="1"/>
  <c r="D353" i="2" a="1"/>
  <c r="D353" i="2" s="1"/>
  <c r="D354" i="2" a="1"/>
  <c r="D354" i="2" s="1"/>
  <c r="D355" i="2" a="1"/>
  <c r="D355" i="2" s="1"/>
  <c r="D356" i="2" a="1"/>
  <c r="D356" i="2" s="1"/>
  <c r="D357" i="2" a="1"/>
  <c r="D357" i="2" s="1"/>
  <c r="D358" i="2" a="1"/>
  <c r="D358" i="2" s="1"/>
  <c r="D359" i="2" a="1"/>
  <c r="D359" i="2" s="1"/>
  <c r="D360" i="2" a="1"/>
  <c r="D360" i="2" s="1"/>
  <c r="D361" i="2" a="1"/>
  <c r="D361" i="2" s="1"/>
  <c r="D362" i="2" a="1"/>
  <c r="D362" i="2" s="1"/>
  <c r="D363" i="2" a="1"/>
  <c r="D363" i="2" s="1"/>
  <c r="D364" i="2" a="1"/>
  <c r="D364" i="2" s="1"/>
  <c r="D365" i="2" a="1"/>
  <c r="D365" i="2" s="1"/>
  <c r="D366" i="2" a="1"/>
  <c r="D366" i="2" s="1"/>
  <c r="D367" i="2" a="1"/>
  <c r="D367" i="2" s="1"/>
  <c r="D368" i="2" a="1"/>
  <c r="D368" i="2" s="1"/>
  <c r="D369" i="2" a="1"/>
  <c r="D369" i="2" s="1"/>
  <c r="D370" i="2" a="1"/>
  <c r="D370" i="2" s="1"/>
  <c r="D371" i="2" a="1"/>
  <c r="D371" i="2" s="1"/>
  <c r="D372" i="2" a="1"/>
  <c r="D372" i="2" s="1"/>
  <c r="D373" i="2" a="1"/>
  <c r="D373" i="2" s="1"/>
  <c r="D374" i="2" a="1"/>
  <c r="D374" i="2" s="1"/>
  <c r="D375" i="2" a="1"/>
  <c r="D375" i="2" s="1"/>
  <c r="D376" i="2" a="1"/>
  <c r="D376" i="2" s="1"/>
  <c r="D377" i="2" a="1"/>
  <c r="D377" i="2" s="1"/>
  <c r="D378" i="2" a="1"/>
  <c r="D378" i="2" s="1"/>
  <c r="D379" i="2" a="1"/>
  <c r="D379" i="2" s="1"/>
  <c r="D380" i="2" a="1"/>
  <c r="D380" i="2" s="1"/>
  <c r="D381" i="2" a="1"/>
  <c r="D381" i="2" s="1"/>
  <c r="D382" i="2" a="1"/>
  <c r="D382" i="2" s="1"/>
  <c r="D383" i="2" a="1"/>
  <c r="D383" i="2" s="1"/>
  <c r="D384" i="2" a="1"/>
  <c r="D384" i="2" s="1"/>
  <c r="D385" i="2" a="1"/>
  <c r="D385" i="2" s="1"/>
  <c r="D386" i="2" a="1"/>
  <c r="D386" i="2" s="1"/>
  <c r="D387" i="2" a="1"/>
  <c r="D387" i="2" s="1"/>
  <c r="D388" i="2" a="1"/>
  <c r="D388" i="2" s="1"/>
  <c r="D389" i="2" a="1"/>
  <c r="D389" i="2" s="1"/>
  <c r="D390" i="2" a="1"/>
  <c r="D390" i="2" s="1"/>
  <c r="D391" i="2" a="1"/>
  <c r="D391" i="2" s="1"/>
  <c r="D392" i="2" a="1"/>
  <c r="D392" i="2" s="1"/>
  <c r="D393" i="2" a="1"/>
  <c r="D393" i="2" s="1"/>
  <c r="D394" i="2" a="1"/>
  <c r="D394" i="2" s="1"/>
  <c r="D395" i="2" a="1"/>
  <c r="D395" i="2" s="1"/>
  <c r="D396" i="2" a="1"/>
  <c r="D396" i="2" s="1"/>
  <c r="D397" i="2" a="1"/>
  <c r="D397" i="2" s="1"/>
  <c r="D398" i="2" a="1"/>
  <c r="D398" i="2" s="1"/>
  <c r="D399" i="2" a="1"/>
  <c r="D399" i="2" s="1"/>
  <c r="D400" i="2" a="1"/>
  <c r="D400" i="2" s="1"/>
  <c r="D401" i="2" a="1"/>
  <c r="D401" i="2" s="1"/>
  <c r="D402" i="2" a="1"/>
  <c r="D402" i="2" s="1"/>
  <c r="D403" i="2" a="1"/>
  <c r="D403" i="2" s="1"/>
  <c r="D404" i="2" a="1"/>
  <c r="D404" i="2" s="1"/>
  <c r="D405" i="2" a="1"/>
  <c r="D405" i="2" s="1"/>
  <c r="D406" i="2" a="1"/>
  <c r="D406" i="2" s="1"/>
  <c r="D407" i="2" a="1"/>
  <c r="D407" i="2" s="1"/>
  <c r="D408" i="2" a="1"/>
  <c r="D408" i="2" s="1"/>
  <c r="D409" i="2" a="1"/>
  <c r="D409" i="2" s="1"/>
  <c r="D410" i="2" a="1"/>
  <c r="D410" i="2" s="1"/>
  <c r="D411" i="2" a="1"/>
  <c r="D411" i="2" s="1"/>
  <c r="D412" i="2" a="1"/>
  <c r="D412" i="2" s="1"/>
  <c r="D413" i="2" a="1"/>
  <c r="D413" i="2" s="1"/>
  <c r="D414" i="2" a="1"/>
  <c r="D414" i="2" s="1"/>
  <c r="D415" i="2" a="1"/>
  <c r="D415" i="2" s="1"/>
  <c r="D416" i="2" a="1"/>
  <c r="D416" i="2" s="1"/>
  <c r="D417" i="2" a="1"/>
  <c r="D417" i="2" s="1"/>
  <c r="D418" i="2" a="1"/>
  <c r="D418" i="2" s="1"/>
  <c r="D419" i="2" a="1"/>
  <c r="D419" i="2" s="1"/>
  <c r="D420" i="2" a="1"/>
  <c r="D420" i="2" s="1"/>
  <c r="D421" i="2" a="1"/>
  <c r="D421" i="2" s="1"/>
  <c r="D422" i="2" a="1"/>
  <c r="D422" i="2" s="1"/>
  <c r="D423" i="2" a="1"/>
  <c r="D423" i="2" s="1"/>
  <c r="D424" i="2" a="1"/>
  <c r="D424" i="2" s="1"/>
  <c r="D425" i="2" a="1"/>
  <c r="D425" i="2" s="1"/>
  <c r="D426" i="2" a="1"/>
  <c r="D426" i="2" s="1"/>
  <c r="D427" i="2" a="1"/>
  <c r="D427" i="2" s="1"/>
  <c r="D428" i="2" a="1"/>
  <c r="D428" i="2" s="1"/>
  <c r="D429" i="2" a="1"/>
  <c r="D429" i="2" s="1"/>
  <c r="D430" i="2" a="1"/>
  <c r="D430" i="2" s="1"/>
  <c r="D431" i="2" a="1"/>
  <c r="D431" i="2" s="1"/>
  <c r="D432" i="2" a="1"/>
  <c r="D432" i="2" s="1"/>
  <c r="D433" i="2" a="1"/>
  <c r="D433" i="2" s="1"/>
  <c r="D434" i="2" a="1"/>
  <c r="D434" i="2" s="1"/>
  <c r="D435" i="2" a="1"/>
  <c r="D435" i="2" s="1"/>
  <c r="D436" i="2" a="1"/>
  <c r="D436" i="2" s="1"/>
  <c r="D437" i="2" a="1"/>
  <c r="D437" i="2" s="1"/>
  <c r="D438" i="2" a="1"/>
  <c r="D438" i="2" s="1"/>
  <c r="D439" i="2" a="1"/>
  <c r="D439" i="2" s="1"/>
  <c r="D440" i="2" a="1"/>
  <c r="D440" i="2" s="1"/>
  <c r="D441" i="2" a="1"/>
  <c r="D441" i="2" s="1"/>
  <c r="D442" i="2" a="1"/>
  <c r="D442" i="2" s="1"/>
  <c r="D443" i="2" a="1"/>
  <c r="D443" i="2" s="1"/>
  <c r="D444" i="2" a="1"/>
  <c r="D444" i="2" s="1"/>
  <c r="D445" i="2" a="1"/>
  <c r="D445" i="2" s="1"/>
  <c r="D446" i="2" a="1"/>
  <c r="D446" i="2" s="1"/>
  <c r="D447" i="2" a="1"/>
  <c r="D447" i="2" s="1"/>
  <c r="D448" i="2" a="1"/>
  <c r="D448" i="2" s="1"/>
  <c r="D449" i="2" a="1"/>
  <c r="D449" i="2" s="1"/>
  <c r="D450" i="2" a="1"/>
  <c r="D450" i="2" s="1"/>
  <c r="D451" i="2" a="1"/>
  <c r="D451" i="2" s="1"/>
  <c r="D452" i="2" a="1"/>
  <c r="D452" i="2" s="1"/>
  <c r="D453" i="2" a="1"/>
  <c r="D453" i="2" s="1"/>
  <c r="D454" i="2" a="1"/>
  <c r="D454" i="2" s="1"/>
  <c r="D455" i="2" a="1"/>
  <c r="D455" i="2" s="1"/>
  <c r="D456" i="2" a="1"/>
  <c r="D456" i="2" s="1"/>
  <c r="D457" i="2" a="1"/>
  <c r="D457" i="2" s="1"/>
  <c r="D458" i="2" a="1"/>
  <c r="D458" i="2" s="1"/>
  <c r="D459" i="2" a="1"/>
  <c r="D459" i="2" s="1"/>
  <c r="D460" i="2" a="1"/>
  <c r="D460" i="2" s="1"/>
  <c r="D461" i="2" a="1"/>
  <c r="D461" i="2" s="1"/>
  <c r="D462" i="2" a="1"/>
  <c r="D462" i="2" s="1"/>
  <c r="D463" i="2" a="1"/>
  <c r="D463" i="2" s="1"/>
  <c r="D464" i="2" a="1"/>
  <c r="D464" i="2" s="1"/>
  <c r="D465" i="2" a="1"/>
  <c r="D465" i="2" s="1"/>
  <c r="D466" i="2" a="1"/>
  <c r="D466" i="2" s="1"/>
  <c r="D467" i="2" a="1"/>
  <c r="D467" i="2" s="1"/>
  <c r="D468" i="2" a="1"/>
  <c r="D468" i="2" s="1"/>
  <c r="D469" i="2" a="1"/>
  <c r="D469" i="2" s="1"/>
  <c r="D470" i="2" a="1"/>
  <c r="D470" i="2" s="1"/>
  <c r="D471" i="2" a="1"/>
  <c r="D471" i="2" s="1"/>
  <c r="D472" i="2" a="1"/>
  <c r="D472" i="2" s="1"/>
  <c r="D473" i="2" a="1"/>
  <c r="D473" i="2" s="1"/>
  <c r="D474" i="2" a="1"/>
  <c r="D474" i="2" s="1"/>
  <c r="D475" i="2" a="1"/>
  <c r="D475" i="2" s="1"/>
  <c r="D476" i="2" a="1"/>
  <c r="D476" i="2" s="1"/>
  <c r="D477" i="2" a="1"/>
  <c r="D477" i="2" s="1"/>
  <c r="D478" i="2" a="1"/>
  <c r="D478" i="2" s="1"/>
  <c r="D479" i="2" a="1"/>
  <c r="D479" i="2" s="1"/>
  <c r="D480" i="2" a="1"/>
  <c r="D480" i="2" s="1"/>
  <c r="D481" i="2" a="1"/>
  <c r="D481" i="2" s="1"/>
  <c r="D482" i="2" a="1"/>
  <c r="D482" i="2" s="1"/>
  <c r="D483" i="2" a="1"/>
  <c r="D483" i="2" s="1"/>
  <c r="D484" i="2" a="1"/>
  <c r="D484" i="2" s="1"/>
  <c r="D485" i="2" a="1"/>
  <c r="D485" i="2" s="1"/>
  <c r="D486" i="2" a="1"/>
  <c r="D486" i="2" s="1"/>
  <c r="D487" i="2" a="1"/>
  <c r="D487" i="2" s="1"/>
  <c r="D488" i="2" a="1"/>
  <c r="D488" i="2" s="1"/>
  <c r="D489" i="2" a="1"/>
  <c r="D489" i="2" s="1"/>
  <c r="D490" i="2" a="1"/>
  <c r="D490" i="2" s="1"/>
  <c r="D491" i="2" a="1"/>
  <c r="D491" i="2" s="1"/>
  <c r="D492" i="2" a="1"/>
  <c r="D492" i="2" s="1"/>
  <c r="D493" i="2" a="1"/>
  <c r="D493" i="2" s="1"/>
  <c r="D494" i="2" a="1"/>
  <c r="D494" i="2" s="1"/>
  <c r="D495" i="2" a="1"/>
  <c r="D495" i="2" s="1"/>
  <c r="D496" i="2" a="1"/>
  <c r="D496" i="2" s="1"/>
  <c r="D497" i="2" a="1"/>
  <c r="D497" i="2" s="1"/>
  <c r="D498" i="2" a="1"/>
  <c r="D498" i="2" s="1"/>
  <c r="D499" i="2" a="1"/>
  <c r="D499" i="2" s="1"/>
  <c r="D500" i="2" a="1"/>
  <c r="D500" i="2" s="1"/>
  <c r="D501" i="2" a="1"/>
  <c r="D501" i="2"/>
  <c r="D502" i="2" a="1"/>
  <c r="D502" i="2" s="1"/>
  <c r="D503" i="2" a="1"/>
  <c r="D503" i="2" s="1"/>
  <c r="D504" i="2" a="1"/>
  <c r="D504" i="2" s="1"/>
  <c r="D505" i="2" a="1"/>
  <c r="D505" i="2" s="1"/>
  <c r="D506" i="2" a="1"/>
  <c r="D506" i="2" s="1"/>
  <c r="I4" i="2" a="1"/>
  <c r="I4" i="2" s="1"/>
  <c r="I5" i="2" a="1"/>
  <c r="I5" i="2" s="1"/>
  <c r="I6" i="2" a="1"/>
  <c r="I6" i="2" s="1"/>
  <c r="I7" i="2" a="1"/>
  <c r="I7" i="2" s="1"/>
  <c r="I8" i="2" a="1"/>
  <c r="I8" i="2" s="1"/>
  <c r="I9" i="2" a="1"/>
  <c r="I9" i="2" s="1"/>
  <c r="I10" i="2" a="1"/>
  <c r="I10" i="2" s="1"/>
  <c r="I11" i="2" a="1"/>
  <c r="I11" i="2" s="1"/>
  <c r="I12" i="2" a="1"/>
  <c r="I12" i="2" s="1"/>
  <c r="I13" i="2" a="1"/>
  <c r="I13" i="2" s="1"/>
  <c r="I14" i="2" a="1"/>
  <c r="I14" i="2" s="1"/>
  <c r="I15" i="2" a="1"/>
  <c r="I15" i="2" s="1"/>
  <c r="I16" i="2" a="1"/>
  <c r="I16" i="2" s="1"/>
  <c r="I17" i="2" a="1"/>
  <c r="I17" i="2" s="1"/>
  <c r="I18" i="2" a="1"/>
  <c r="I18" i="2" s="1"/>
  <c r="I19" i="2" a="1"/>
  <c r="I19" i="2" s="1"/>
  <c r="I20" i="2" a="1"/>
  <c r="I20" i="2" s="1"/>
  <c r="I21" i="2" a="1"/>
  <c r="I21" i="2" s="1"/>
  <c r="I22" i="2" a="1"/>
  <c r="I22" i="2" s="1"/>
  <c r="I23" i="2" a="1"/>
  <c r="I23" i="2" s="1"/>
  <c r="I24" i="2" a="1"/>
  <c r="I24" i="2"/>
  <c r="I25" i="2" a="1"/>
  <c r="I25" i="2" s="1"/>
  <c r="I26" i="2" a="1"/>
  <c r="I26" i="2" s="1"/>
  <c r="I27" i="2" a="1"/>
  <c r="I27" i="2" s="1"/>
  <c r="I28" i="2" a="1"/>
  <c r="I28" i="2" s="1"/>
  <c r="I29" i="2" a="1"/>
  <c r="I29" i="2" s="1"/>
  <c r="I30" i="2" a="1"/>
  <c r="I30" i="2" s="1"/>
  <c r="I31" i="2" a="1"/>
  <c r="I31" i="2" s="1"/>
  <c r="I32" i="2" a="1"/>
  <c r="I32" i="2" s="1"/>
  <c r="I33" i="2" a="1"/>
  <c r="I33" i="2" s="1"/>
  <c r="I34" i="2" a="1"/>
  <c r="I34" i="2" s="1"/>
  <c r="I35" i="2" a="1"/>
  <c r="I35" i="2" s="1"/>
  <c r="I36" i="2" a="1"/>
  <c r="I36" i="2" s="1"/>
  <c r="I37" i="2" a="1"/>
  <c r="I37" i="2" s="1"/>
  <c r="I38" i="2" a="1"/>
  <c r="I38" i="2" s="1"/>
  <c r="I39" i="2" a="1"/>
  <c r="I39" i="2" s="1"/>
  <c r="I40" i="2" a="1"/>
  <c r="I40" i="2" s="1"/>
  <c r="I41" i="2" a="1"/>
  <c r="I41" i="2" s="1"/>
  <c r="I42" i="2" a="1"/>
  <c r="I42" i="2" s="1"/>
  <c r="I43" i="2" a="1"/>
  <c r="I43" i="2" s="1"/>
  <c r="I44" i="2" a="1"/>
  <c r="I44" i="2" s="1"/>
  <c r="I45" i="2" a="1"/>
  <c r="I45" i="2" s="1"/>
  <c r="I46" i="2" a="1"/>
  <c r="I46" i="2" s="1"/>
  <c r="I47" i="2" a="1"/>
  <c r="I47" i="2" s="1"/>
  <c r="I48" i="2" a="1"/>
  <c r="I48" i="2" s="1"/>
  <c r="I49" i="2" a="1"/>
  <c r="I49" i="2"/>
  <c r="I50" i="2" a="1"/>
  <c r="I50" i="2" s="1"/>
  <c r="I51" i="2" a="1"/>
  <c r="I51" i="2" s="1"/>
  <c r="I52" i="2" a="1"/>
  <c r="I52" i="2" s="1"/>
  <c r="I53" i="2" a="1"/>
  <c r="I53" i="2" s="1"/>
  <c r="I54" i="2" a="1"/>
  <c r="I54" i="2" s="1"/>
  <c r="I55" i="2" a="1"/>
  <c r="I55" i="2" s="1"/>
  <c r="I56" i="2" a="1"/>
  <c r="I56" i="2" s="1"/>
  <c r="I57" i="2" a="1"/>
  <c r="I57" i="2" s="1"/>
  <c r="I58" i="2" a="1"/>
  <c r="I58" i="2" s="1"/>
  <c r="I59" i="2" a="1"/>
  <c r="I59" i="2" s="1"/>
  <c r="I60" i="2" a="1"/>
  <c r="I60" i="2" s="1"/>
  <c r="I61" i="2" a="1"/>
  <c r="I61" i="2" s="1"/>
  <c r="I62" i="2" a="1"/>
  <c r="I62" i="2" s="1"/>
  <c r="I63" i="2" a="1"/>
  <c r="I63" i="2" s="1"/>
  <c r="I64" i="2" a="1"/>
  <c r="I64" i="2" s="1"/>
  <c r="I65" i="2" a="1"/>
  <c r="I65" i="2" s="1"/>
  <c r="I66" i="2" a="1"/>
  <c r="I66" i="2" s="1"/>
  <c r="I67" i="2" a="1"/>
  <c r="I67" i="2" s="1"/>
  <c r="I68" i="2" a="1"/>
  <c r="I68" i="2" s="1"/>
  <c r="I69" i="2" a="1"/>
  <c r="I69" i="2" s="1"/>
  <c r="I70" i="2" a="1"/>
  <c r="I70" i="2" s="1"/>
  <c r="I71" i="2" a="1"/>
  <c r="I71" i="2" s="1"/>
  <c r="I72" i="2" a="1"/>
  <c r="I72" i="2" s="1"/>
  <c r="I73" i="2" a="1"/>
  <c r="I73" i="2" s="1"/>
  <c r="I74" i="2" a="1"/>
  <c r="I74" i="2" s="1"/>
  <c r="I75" i="2" a="1"/>
  <c r="I75" i="2" s="1"/>
  <c r="I76" i="2" a="1"/>
  <c r="I76" i="2" s="1"/>
  <c r="I77" i="2" a="1"/>
  <c r="I77" i="2" s="1"/>
  <c r="I78" i="2" a="1"/>
  <c r="I78" i="2"/>
  <c r="I79" i="2" a="1"/>
  <c r="I79" i="2" s="1"/>
  <c r="I80" i="2" a="1"/>
  <c r="I80" i="2" s="1"/>
  <c r="I81" i="2" a="1"/>
  <c r="I81" i="2" s="1"/>
  <c r="I82" i="2" a="1"/>
  <c r="I82" i="2" s="1"/>
  <c r="I83" i="2" a="1"/>
  <c r="I83" i="2" s="1"/>
  <c r="I84" i="2" a="1"/>
  <c r="I84" i="2" s="1"/>
  <c r="I85" i="2" a="1"/>
  <c r="I85" i="2" s="1"/>
  <c r="I86" i="2" a="1"/>
  <c r="I86" i="2" s="1"/>
  <c r="I87" i="2" a="1"/>
  <c r="I87" i="2" s="1"/>
  <c r="I88" i="2" a="1"/>
  <c r="I88" i="2" s="1"/>
  <c r="I89" i="2" a="1"/>
  <c r="I89" i="2" s="1"/>
  <c r="I90" i="2" a="1"/>
  <c r="I90" i="2" s="1"/>
  <c r="I91" i="2" a="1"/>
  <c r="I91" i="2" s="1"/>
  <c r="I92" i="2" a="1"/>
  <c r="I92" i="2" s="1"/>
  <c r="I93" i="2" a="1"/>
  <c r="I93" i="2" s="1"/>
  <c r="I94" i="2" a="1"/>
  <c r="I94" i="2" s="1"/>
  <c r="I95" i="2" a="1"/>
  <c r="I95" i="2" s="1"/>
  <c r="I96" i="2" a="1"/>
  <c r="I96" i="2" s="1"/>
  <c r="I97" i="2" a="1"/>
  <c r="I97" i="2" s="1"/>
  <c r="I98" i="2" a="1"/>
  <c r="I98" i="2" s="1"/>
  <c r="I99" i="2" a="1"/>
  <c r="I99" i="2" s="1"/>
  <c r="I100" i="2" a="1"/>
  <c r="I100" i="2" s="1"/>
  <c r="I101" i="2" a="1"/>
  <c r="I101" i="2" s="1"/>
  <c r="I102" i="2" a="1"/>
  <c r="I102" i="2" s="1"/>
  <c r="I103" i="2" a="1"/>
  <c r="I103" i="2"/>
  <c r="I104" i="2" a="1"/>
  <c r="I104" i="2" s="1"/>
  <c r="I105" i="2" a="1"/>
  <c r="I105" i="2" s="1"/>
  <c r="I106" i="2" a="1"/>
  <c r="I106" i="2" s="1"/>
  <c r="I107" i="2" a="1"/>
  <c r="I107" i="2" s="1"/>
  <c r="I108" i="2" a="1"/>
  <c r="I108" i="2" s="1"/>
  <c r="I109" i="2" a="1"/>
  <c r="I109" i="2" s="1"/>
  <c r="I110" i="2" a="1"/>
  <c r="I110" i="2" s="1"/>
  <c r="I111" i="2" a="1"/>
  <c r="I111" i="2" s="1"/>
  <c r="I112" i="2" a="1"/>
  <c r="I112" i="2" s="1"/>
  <c r="I113" i="2" a="1"/>
  <c r="I113" i="2" s="1"/>
  <c r="I114" i="2" a="1"/>
  <c r="I114" i="2" s="1"/>
  <c r="I115" i="2" a="1"/>
  <c r="I115" i="2" s="1"/>
  <c r="I116" i="2" a="1"/>
  <c r="I116" i="2" s="1"/>
  <c r="I117" i="2" a="1"/>
  <c r="I117" i="2" s="1"/>
  <c r="I118" i="2" a="1"/>
  <c r="I118" i="2" s="1"/>
  <c r="I119" i="2" a="1"/>
  <c r="I119" i="2" s="1"/>
  <c r="I120" i="2" a="1"/>
  <c r="I120" i="2" s="1"/>
  <c r="I121" i="2" a="1"/>
  <c r="I121" i="2" s="1"/>
  <c r="I122" i="2" a="1"/>
  <c r="I122" i="2" s="1"/>
  <c r="I123" i="2" a="1"/>
  <c r="I123" i="2" s="1"/>
  <c r="I124" i="2" a="1"/>
  <c r="I124" i="2" s="1"/>
  <c r="I125" i="2" a="1"/>
  <c r="I125" i="2" s="1"/>
  <c r="I126" i="2" a="1"/>
  <c r="I126" i="2" s="1"/>
  <c r="I127" i="2" a="1"/>
  <c r="I127" i="2" s="1"/>
  <c r="I128" i="2" a="1"/>
  <c r="I128" i="2" s="1"/>
  <c r="I129" i="2" a="1"/>
  <c r="I129" i="2" s="1"/>
  <c r="I130" i="2" a="1"/>
  <c r="I130" i="2" s="1"/>
  <c r="I131" i="2" a="1"/>
  <c r="I131" i="2" s="1"/>
  <c r="I132" i="2" a="1"/>
  <c r="I132" i="2"/>
  <c r="I133" i="2" a="1"/>
  <c r="I133" i="2" s="1"/>
  <c r="I134" i="2" a="1"/>
  <c r="I134" i="2" s="1"/>
  <c r="I135" i="2" a="1"/>
  <c r="I135" i="2" s="1"/>
  <c r="I136" i="2" a="1"/>
  <c r="I136" i="2" s="1"/>
  <c r="I137" i="2" a="1"/>
  <c r="I137" i="2" s="1"/>
  <c r="I138" i="2" a="1"/>
  <c r="I138" i="2" s="1"/>
  <c r="I139" i="2" a="1"/>
  <c r="I139" i="2" s="1"/>
  <c r="I140" i="2" a="1"/>
  <c r="I140" i="2" s="1"/>
  <c r="I141" i="2" a="1"/>
  <c r="I141" i="2" s="1"/>
  <c r="I142" i="2" a="1"/>
  <c r="I142" i="2" s="1"/>
  <c r="I143" i="2" a="1"/>
  <c r="I143" i="2" s="1"/>
  <c r="I144" i="2" a="1"/>
  <c r="I144" i="2" s="1"/>
  <c r="I145" i="2" a="1"/>
  <c r="I145" i="2" s="1"/>
  <c r="I146" i="2" a="1"/>
  <c r="I146" i="2" s="1"/>
  <c r="I147" i="2" a="1"/>
  <c r="I147" i="2" s="1"/>
  <c r="I148" i="2" a="1"/>
  <c r="I148" i="2" s="1"/>
  <c r="I149" i="2" a="1"/>
  <c r="I149" i="2" s="1"/>
  <c r="I150" i="2" a="1"/>
  <c r="I150" i="2" s="1"/>
  <c r="I151" i="2" a="1"/>
  <c r="I151" i="2" s="1"/>
  <c r="I152" i="2" a="1"/>
  <c r="I152" i="2" s="1"/>
  <c r="I153" i="2" a="1"/>
  <c r="I153" i="2" s="1"/>
  <c r="I154" i="2" a="1"/>
  <c r="I154" i="2" s="1"/>
  <c r="I155" i="2" a="1"/>
  <c r="I155" i="2" s="1"/>
  <c r="I156" i="2" a="1"/>
  <c r="I156" i="2" s="1"/>
  <c r="I157" i="2" a="1"/>
  <c r="I157" i="2"/>
  <c r="I158" i="2" a="1"/>
  <c r="I158" i="2" s="1"/>
  <c r="I159" i="2" a="1"/>
  <c r="I159" i="2" s="1"/>
  <c r="I160" i="2" a="1"/>
  <c r="I160" i="2" s="1"/>
  <c r="I161" i="2" a="1"/>
  <c r="I161" i="2" s="1"/>
  <c r="I162" i="2" a="1"/>
  <c r="I162" i="2" s="1"/>
  <c r="I163" i="2" a="1"/>
  <c r="I163" i="2" s="1"/>
  <c r="I164" i="2" a="1"/>
  <c r="I164" i="2" s="1"/>
  <c r="I165" i="2" a="1"/>
  <c r="I165" i="2" s="1"/>
  <c r="I166" i="2" a="1"/>
  <c r="I166" i="2"/>
  <c r="I167" i="2" a="1"/>
  <c r="I167" i="2" s="1"/>
  <c r="I168" i="2" a="1"/>
  <c r="I168" i="2" s="1"/>
  <c r="I169" i="2" a="1"/>
  <c r="I169" i="2" s="1"/>
  <c r="I170" i="2" a="1"/>
  <c r="I170" i="2" s="1"/>
  <c r="I171" i="2" a="1"/>
  <c r="I171" i="2" s="1"/>
  <c r="I172" i="2" a="1"/>
  <c r="I172" i="2" s="1"/>
  <c r="I173" i="2" a="1"/>
  <c r="I173" i="2" s="1"/>
  <c r="I174" i="2" a="1"/>
  <c r="I174" i="2" s="1"/>
  <c r="I175" i="2" a="1"/>
  <c r="I175" i="2" s="1"/>
  <c r="I176" i="2" a="1"/>
  <c r="I176" i="2" s="1"/>
  <c r="I177" i="2" a="1"/>
  <c r="I177" i="2"/>
  <c r="I178" i="2" a="1"/>
  <c r="I178" i="2" s="1"/>
  <c r="I179" i="2" a="1"/>
  <c r="I179" i="2" s="1"/>
  <c r="I180" i="2" a="1"/>
  <c r="I180" i="2" s="1"/>
  <c r="I181" i="2" a="1"/>
  <c r="I181" i="2" s="1"/>
  <c r="I182" i="2" a="1"/>
  <c r="I182" i="2" s="1"/>
  <c r="I183" i="2" a="1"/>
  <c r="I183" i="2" s="1"/>
  <c r="I184" i="2" a="1"/>
  <c r="I184" i="2" s="1"/>
  <c r="I185" i="2" a="1"/>
  <c r="I185" i="2" s="1"/>
  <c r="I186" i="2" a="1"/>
  <c r="I186" i="2" s="1"/>
  <c r="I187" i="2" a="1"/>
  <c r="I187" i="2" s="1"/>
  <c r="I188" i="2" a="1"/>
  <c r="I188" i="2" s="1"/>
  <c r="I189" i="2" a="1"/>
  <c r="I189" i="2" s="1"/>
  <c r="I190" i="2" a="1"/>
  <c r="I190" i="2" s="1"/>
  <c r="I191" i="2" a="1"/>
  <c r="I191" i="2" s="1"/>
  <c r="I192" i="2" a="1"/>
  <c r="I192" i="2" s="1"/>
  <c r="I193" i="2" a="1"/>
  <c r="I193" i="2" s="1"/>
  <c r="I194" i="2" a="1"/>
  <c r="I194" i="2" s="1"/>
  <c r="I195" i="2" a="1"/>
  <c r="I195" i="2" s="1"/>
  <c r="I196" i="2" a="1"/>
  <c r="I196" i="2" s="1"/>
  <c r="I197" i="2" a="1"/>
  <c r="I197" i="2" s="1"/>
  <c r="I198" i="2" a="1"/>
  <c r="I198" i="2" s="1"/>
  <c r="I199" i="2" a="1"/>
  <c r="I199" i="2" s="1"/>
  <c r="I200" i="2" a="1"/>
  <c r="I200" i="2" s="1"/>
  <c r="I201" i="2" a="1"/>
  <c r="I201" i="2" s="1"/>
  <c r="I202" i="2" a="1"/>
  <c r="I202" i="2"/>
  <c r="I203" i="2" a="1"/>
  <c r="I203" i="2" s="1"/>
  <c r="I204" i="2" a="1"/>
  <c r="I204" i="2" s="1"/>
  <c r="I205" i="2" a="1"/>
  <c r="I205" i="2" s="1"/>
  <c r="I206" i="2" a="1"/>
  <c r="I206" i="2" s="1"/>
  <c r="I207" i="2" a="1"/>
  <c r="I207" i="2" s="1"/>
  <c r="I208" i="2" a="1"/>
  <c r="I208" i="2" s="1"/>
  <c r="I209" i="2" a="1"/>
  <c r="I209" i="2" s="1"/>
  <c r="I210" i="2" a="1"/>
  <c r="I210" i="2" s="1"/>
  <c r="I211" i="2" a="1"/>
  <c r="I211" i="2"/>
  <c r="I212" i="2" a="1"/>
  <c r="I212" i="2" s="1"/>
  <c r="I213" i="2" a="1"/>
  <c r="I213" i="2" s="1"/>
  <c r="I214" i="2" a="1"/>
  <c r="I214" i="2" s="1"/>
  <c r="I215" i="2" a="1"/>
  <c r="I215" i="2" s="1"/>
  <c r="I216" i="2" a="1"/>
  <c r="I216" i="2" s="1"/>
  <c r="I217" i="2" a="1"/>
  <c r="I217" i="2" s="1"/>
  <c r="I218" i="2" a="1"/>
  <c r="I218" i="2" s="1"/>
  <c r="I219" i="2" a="1"/>
  <c r="I219" i="2" s="1"/>
  <c r="I220" i="2" a="1"/>
  <c r="I220" i="2" s="1"/>
  <c r="I221" i="2" a="1"/>
  <c r="I221" i="2" s="1"/>
  <c r="I222" i="2" a="1"/>
  <c r="I222" i="2" s="1"/>
  <c r="I223" i="2" a="1"/>
  <c r="I223" i="2" s="1"/>
  <c r="I224" i="2" a="1"/>
  <c r="I224" i="2" s="1"/>
  <c r="I225" i="2" a="1"/>
  <c r="I225" i="2" s="1"/>
  <c r="I226" i="2" a="1"/>
  <c r="I226" i="2" s="1"/>
  <c r="I227" i="2" a="1"/>
  <c r="I227" i="2" s="1"/>
  <c r="I228" i="2" a="1"/>
  <c r="I228" i="2" s="1"/>
  <c r="I229" i="2" a="1"/>
  <c r="I229" i="2" s="1"/>
  <c r="I230" i="2" a="1"/>
  <c r="I230" i="2" s="1"/>
  <c r="I231" i="2" a="1"/>
  <c r="I231" i="2" s="1"/>
  <c r="I232" i="2" a="1"/>
  <c r="I232" i="2" s="1"/>
  <c r="I233" i="2" a="1"/>
  <c r="I233" i="2" s="1"/>
  <c r="I234" i="2" a="1"/>
  <c r="I234" i="2" s="1"/>
  <c r="I235" i="2" a="1"/>
  <c r="I235" i="2" s="1"/>
  <c r="I236" i="2" a="1"/>
  <c r="I236" i="2" s="1"/>
  <c r="I237" i="2" a="1"/>
  <c r="I237" i="2" s="1"/>
  <c r="I238" i="2" a="1"/>
  <c r="I238" i="2" s="1"/>
  <c r="I239" i="2" a="1"/>
  <c r="I239" i="2" s="1"/>
  <c r="I240" i="2" a="1"/>
  <c r="I240" i="2" s="1"/>
  <c r="I241" i="2" a="1"/>
  <c r="I241" i="2" s="1"/>
  <c r="I242" i="2" a="1"/>
  <c r="I242" i="2" s="1"/>
  <c r="I243" i="2" a="1"/>
  <c r="I243" i="2" s="1"/>
  <c r="I244" i="2" a="1"/>
  <c r="I244" i="2" s="1"/>
  <c r="I245" i="2" a="1"/>
  <c r="I245" i="2" s="1"/>
  <c r="I246" i="2" a="1"/>
  <c r="I246" i="2" s="1"/>
  <c r="I247" i="2" a="1"/>
  <c r="I247" i="2" s="1"/>
  <c r="I248" i="2" a="1"/>
  <c r="I248" i="2" s="1"/>
  <c r="I249" i="2" a="1"/>
  <c r="I249" i="2" s="1"/>
  <c r="I250" i="2" a="1"/>
  <c r="I250" i="2" s="1"/>
  <c r="I251" i="2" a="1"/>
  <c r="I251" i="2" s="1"/>
  <c r="I252" i="2" a="1"/>
  <c r="I252" i="2" s="1"/>
  <c r="I253" i="2" a="1"/>
  <c r="I253" i="2" s="1"/>
  <c r="I254" i="2" a="1"/>
  <c r="I254" i="2" s="1"/>
  <c r="I255" i="2" a="1"/>
  <c r="I255" i="2" s="1"/>
  <c r="I256" i="2" a="1"/>
  <c r="I256" i="2"/>
  <c r="I257" i="2" a="1"/>
  <c r="I257" i="2" s="1"/>
  <c r="I258" i="2" a="1"/>
  <c r="I258" i="2" s="1"/>
  <c r="I259" i="2" a="1"/>
  <c r="I259" i="2" s="1"/>
  <c r="I260" i="2" a="1"/>
  <c r="I260" i="2" s="1"/>
  <c r="I261" i="2" a="1"/>
  <c r="I261" i="2" s="1"/>
  <c r="I262" i="2" a="1"/>
  <c r="I262" i="2" s="1"/>
  <c r="I263" i="2" a="1"/>
  <c r="I263" i="2" s="1"/>
  <c r="I264" i="2" a="1"/>
  <c r="I264" i="2" s="1"/>
  <c r="I265" i="2" a="1"/>
  <c r="I265" i="2" s="1"/>
  <c r="I266" i="2" a="1"/>
  <c r="I266" i="2" s="1"/>
  <c r="I267" i="2" a="1"/>
  <c r="I267" i="2" s="1"/>
  <c r="I268" i="2" a="1"/>
  <c r="I268" i="2" s="1"/>
  <c r="I269" i="2" a="1"/>
  <c r="I269" i="2" s="1"/>
  <c r="I270" i="2" a="1"/>
  <c r="I270" i="2" s="1"/>
  <c r="I271" i="2" a="1"/>
  <c r="I271" i="2" s="1"/>
  <c r="I272" i="2" a="1"/>
  <c r="I272" i="2" s="1"/>
  <c r="I273" i="2" a="1"/>
  <c r="I273" i="2" s="1"/>
  <c r="I274" i="2" a="1"/>
  <c r="I274" i="2" s="1"/>
  <c r="I275" i="2" a="1"/>
  <c r="I275" i="2" s="1"/>
  <c r="I276" i="2" a="1"/>
  <c r="I276" i="2" s="1"/>
  <c r="I277" i="2" a="1"/>
  <c r="I277" i="2" s="1"/>
  <c r="I278" i="2" a="1"/>
  <c r="I278" i="2" s="1"/>
  <c r="I279" i="2" a="1"/>
  <c r="I279" i="2" s="1"/>
  <c r="I280" i="2" a="1"/>
  <c r="I280" i="2" s="1"/>
  <c r="I281" i="2" a="1"/>
  <c r="I281" i="2" s="1"/>
  <c r="I282" i="2" a="1"/>
  <c r="I282" i="2" s="1"/>
  <c r="I283" i="2" a="1"/>
  <c r="I283" i="2" s="1"/>
  <c r="I284" i="2" a="1"/>
  <c r="I284" i="2" s="1"/>
  <c r="I285" i="2" a="1"/>
  <c r="I285" i="2" s="1"/>
  <c r="I286" i="2" a="1"/>
  <c r="I286" i="2" s="1"/>
  <c r="I287" i="2" a="1"/>
  <c r="I287" i="2" s="1"/>
  <c r="I288" i="2" a="1"/>
  <c r="I288" i="2" s="1"/>
  <c r="I289" i="2" a="1"/>
  <c r="I289" i="2" s="1"/>
  <c r="I290" i="2" a="1"/>
  <c r="I290" i="2" s="1"/>
  <c r="I291" i="2" a="1"/>
  <c r="I291" i="2" s="1"/>
  <c r="I292" i="2" a="1"/>
  <c r="I292" i="2" s="1"/>
  <c r="I293" i="2" a="1"/>
  <c r="I293" i="2" s="1"/>
  <c r="I294" i="2" a="1"/>
  <c r="I294" i="2" s="1"/>
  <c r="I295" i="2" a="1"/>
  <c r="I295" i="2" s="1"/>
  <c r="I296" i="2" a="1"/>
  <c r="I296" i="2" s="1"/>
  <c r="I297" i="2" a="1"/>
  <c r="I297" i="2" s="1"/>
  <c r="I298" i="2" a="1"/>
  <c r="I298" i="2" s="1"/>
  <c r="I299" i="2" a="1"/>
  <c r="I299" i="2" s="1"/>
  <c r="I300" i="2" a="1"/>
  <c r="I300" i="2" s="1"/>
  <c r="I301" i="2" a="1"/>
  <c r="I301" i="2" s="1"/>
  <c r="I302" i="2" a="1"/>
  <c r="I302" i="2" s="1"/>
  <c r="I303" i="2" a="1"/>
  <c r="I303" i="2" s="1"/>
  <c r="I304" i="2" a="1"/>
  <c r="I304" i="2" s="1"/>
  <c r="I305" i="2" a="1"/>
  <c r="I305" i="2" s="1"/>
  <c r="I306" i="2" a="1"/>
  <c r="I306" i="2" s="1"/>
  <c r="I307" i="2" a="1"/>
  <c r="I307" i="2" s="1"/>
  <c r="I308" i="2" a="1"/>
  <c r="I308" i="2" s="1"/>
  <c r="I309" i="2" a="1"/>
  <c r="I309" i="2" s="1"/>
  <c r="I310" i="2" a="1"/>
  <c r="I310" i="2" s="1"/>
  <c r="I311" i="2" a="1"/>
  <c r="I311" i="2" s="1"/>
  <c r="I312" i="2" a="1"/>
  <c r="I312" i="2" s="1"/>
  <c r="I313" i="2" a="1"/>
  <c r="I313" i="2" s="1"/>
  <c r="I314" i="2" a="1"/>
  <c r="I314" i="2" s="1"/>
  <c r="I315" i="2" a="1"/>
  <c r="I315" i="2" s="1"/>
  <c r="I316" i="2" a="1"/>
  <c r="I316" i="2" s="1"/>
  <c r="I317" i="2" a="1"/>
  <c r="I317" i="2" s="1"/>
  <c r="I318" i="2" a="1"/>
  <c r="I318" i="2" s="1"/>
  <c r="I319" i="2" a="1"/>
  <c r="I319" i="2"/>
  <c r="I320" i="2" a="1"/>
  <c r="I320" i="2" s="1"/>
  <c r="I321" i="2" a="1"/>
  <c r="I321" i="2" s="1"/>
  <c r="I322" i="2" a="1"/>
  <c r="I322" i="2" s="1"/>
  <c r="I323" i="2" a="1"/>
  <c r="I323" i="2" s="1"/>
  <c r="I324" i="2" a="1"/>
  <c r="I324" i="2" s="1"/>
  <c r="I325" i="2" a="1"/>
  <c r="I325" i="2" s="1"/>
  <c r="I326" i="2" a="1"/>
  <c r="I326" i="2" s="1"/>
  <c r="I327" i="2" a="1"/>
  <c r="I327" i="2" s="1"/>
  <c r="I328" i="2" a="1"/>
  <c r="I328" i="2" s="1"/>
  <c r="I329" i="2" a="1"/>
  <c r="I329" i="2" s="1"/>
  <c r="I330" i="2" a="1"/>
  <c r="I330" i="2" s="1"/>
  <c r="I331" i="2" a="1"/>
  <c r="I331" i="2" s="1"/>
  <c r="I332" i="2" a="1"/>
  <c r="I332" i="2" s="1"/>
  <c r="I333" i="2" a="1"/>
  <c r="I333" i="2" s="1"/>
  <c r="I334" i="2" a="1"/>
  <c r="I334" i="2" s="1"/>
  <c r="I335" i="2" a="1"/>
  <c r="I335" i="2" s="1"/>
  <c r="I336" i="2" a="1"/>
  <c r="I336" i="2" s="1"/>
  <c r="I337" i="2" a="1"/>
  <c r="I337" i="2" s="1"/>
  <c r="I338" i="2" a="1"/>
  <c r="I338" i="2" s="1"/>
  <c r="I339" i="2" a="1"/>
  <c r="I339" i="2" s="1"/>
  <c r="I340" i="2" a="1"/>
  <c r="I340" i="2" s="1"/>
  <c r="I341" i="2" a="1"/>
  <c r="I341" i="2" s="1"/>
  <c r="I342" i="2" a="1"/>
  <c r="I342" i="2" s="1"/>
  <c r="I343" i="2" a="1"/>
  <c r="I343" i="2"/>
  <c r="I344" i="2" a="1"/>
  <c r="I344" i="2" s="1"/>
  <c r="I345" i="2" a="1"/>
  <c r="I345" i="2" s="1"/>
  <c r="I346" i="2" a="1"/>
  <c r="I346" i="2" s="1"/>
  <c r="I347" i="2" a="1"/>
  <c r="I347" i="2" s="1"/>
  <c r="I348" i="2" a="1"/>
  <c r="I348" i="2" s="1"/>
  <c r="I349" i="2" a="1"/>
  <c r="I349" i="2" s="1"/>
  <c r="I350" i="2" a="1"/>
  <c r="I350" i="2" s="1"/>
  <c r="I351" i="2" a="1"/>
  <c r="I351" i="2" s="1"/>
  <c r="I352" i="2" a="1"/>
  <c r="I352" i="2" s="1"/>
  <c r="I353" i="2" a="1"/>
  <c r="I353" i="2" s="1"/>
  <c r="I354" i="2" a="1"/>
  <c r="I354" i="2" s="1"/>
  <c r="I355" i="2" a="1"/>
  <c r="I355" i="2"/>
  <c r="I356" i="2" a="1"/>
  <c r="I356" i="2" s="1"/>
  <c r="I357" i="2" a="1"/>
  <c r="I357" i="2" s="1"/>
  <c r="I358" i="2" a="1"/>
  <c r="I358" i="2" s="1"/>
  <c r="I359" i="2" a="1"/>
  <c r="I359" i="2"/>
  <c r="I360" i="2" a="1"/>
  <c r="I360" i="2" s="1"/>
  <c r="I361" i="2" a="1"/>
  <c r="I361" i="2" s="1"/>
  <c r="I362" i="2" a="1"/>
  <c r="I362" i="2" s="1"/>
  <c r="I363" i="2" a="1"/>
  <c r="I363" i="2" s="1"/>
  <c r="I364" i="2" a="1"/>
  <c r="I364" i="2" s="1"/>
  <c r="I365" i="2" a="1"/>
  <c r="I365" i="2" s="1"/>
  <c r="I366" i="2" a="1"/>
  <c r="I366" i="2" s="1"/>
  <c r="I367" i="2" a="1"/>
  <c r="I367" i="2" s="1"/>
  <c r="I368" i="2" a="1"/>
  <c r="I368" i="2" s="1"/>
  <c r="I369" i="2" a="1"/>
  <c r="I369" i="2" s="1"/>
  <c r="I370" i="2" a="1"/>
  <c r="I370" i="2" s="1"/>
  <c r="I371" i="2" a="1"/>
  <c r="I371" i="2" s="1"/>
  <c r="I372" i="2" a="1"/>
  <c r="I372" i="2" s="1"/>
  <c r="I373" i="2" a="1"/>
  <c r="I373" i="2" s="1"/>
  <c r="I374" i="2" a="1"/>
  <c r="I374" i="2" s="1"/>
  <c r="I375" i="2" a="1"/>
  <c r="I375" i="2" s="1"/>
  <c r="I376" i="2" a="1"/>
  <c r="I376" i="2" s="1"/>
  <c r="I377" i="2" a="1"/>
  <c r="I377" i="2" s="1"/>
  <c r="I378" i="2" a="1"/>
  <c r="I378" i="2" s="1"/>
  <c r="I379" i="2" a="1"/>
  <c r="I379" i="2" s="1"/>
  <c r="I380" i="2" a="1"/>
  <c r="I380" i="2" s="1"/>
  <c r="I381" i="2" a="1"/>
  <c r="I381" i="2" s="1"/>
  <c r="I382" i="2" a="1"/>
  <c r="I382" i="2" s="1"/>
  <c r="I383" i="2" a="1"/>
  <c r="I383" i="2" s="1"/>
  <c r="I384" i="2" a="1"/>
  <c r="I384" i="2" s="1"/>
  <c r="I385" i="2" a="1"/>
  <c r="I385" i="2" s="1"/>
  <c r="I386" i="2" a="1"/>
  <c r="I386" i="2" s="1"/>
  <c r="I387" i="2" a="1"/>
  <c r="I387" i="2" s="1"/>
  <c r="I388" i="2" a="1"/>
  <c r="I388" i="2" s="1"/>
  <c r="I389" i="2" a="1"/>
  <c r="I389" i="2" s="1"/>
  <c r="I390" i="2" a="1"/>
  <c r="I390" i="2" s="1"/>
  <c r="I391" i="2" a="1"/>
  <c r="I391" i="2" s="1"/>
  <c r="I392" i="2" a="1"/>
  <c r="I392" i="2" s="1"/>
  <c r="I393" i="2" a="1"/>
  <c r="I393" i="2" s="1"/>
  <c r="I394" i="2" a="1"/>
  <c r="I394" i="2" s="1"/>
  <c r="I395" i="2" a="1"/>
  <c r="I395" i="2" s="1"/>
  <c r="I396" i="2" a="1"/>
  <c r="I396" i="2" s="1"/>
  <c r="I397" i="2" a="1"/>
  <c r="I397" i="2" s="1"/>
  <c r="I398" i="2" a="1"/>
  <c r="I398" i="2" s="1"/>
  <c r="I399" i="2" a="1"/>
  <c r="I399" i="2" s="1"/>
  <c r="I400" i="2" a="1"/>
  <c r="I400" i="2" s="1"/>
  <c r="I401" i="2" a="1"/>
  <c r="I401" i="2" s="1"/>
  <c r="I402" i="2" a="1"/>
  <c r="I402" i="2" s="1"/>
  <c r="I403" i="2" a="1"/>
  <c r="I403" i="2" s="1"/>
  <c r="I404" i="2" a="1"/>
  <c r="I404" i="2" s="1"/>
  <c r="I405" i="2" a="1"/>
  <c r="I405" i="2" s="1"/>
  <c r="I406" i="2" a="1"/>
  <c r="I406" i="2" s="1"/>
  <c r="I407" i="2" a="1"/>
  <c r="I407" i="2" s="1"/>
  <c r="I408" i="2" a="1"/>
  <c r="I408" i="2" s="1"/>
  <c r="I409" i="2" a="1"/>
  <c r="I409" i="2" s="1"/>
  <c r="I410" i="2" a="1"/>
  <c r="I410" i="2" s="1"/>
  <c r="I411" i="2" a="1"/>
  <c r="I411" i="2"/>
  <c r="I412" i="2" a="1"/>
  <c r="I412" i="2" s="1"/>
  <c r="I413" i="2" a="1"/>
  <c r="I413" i="2" s="1"/>
  <c r="I414" i="2" a="1"/>
  <c r="I414" i="2" s="1"/>
  <c r="I415" i="2" a="1"/>
  <c r="I415" i="2" s="1"/>
  <c r="I416" i="2" a="1"/>
  <c r="I416" i="2" s="1"/>
  <c r="I417" i="2" a="1"/>
  <c r="I417" i="2" s="1"/>
  <c r="I418" i="2" a="1"/>
  <c r="I418" i="2" s="1"/>
  <c r="I419" i="2" a="1"/>
  <c r="I419" i="2" s="1"/>
  <c r="I420" i="2" a="1"/>
  <c r="I420" i="2"/>
  <c r="I421" i="2" a="1"/>
  <c r="I421" i="2" s="1"/>
  <c r="I422" i="2" a="1"/>
  <c r="I422" i="2" s="1"/>
  <c r="I423" i="2" a="1"/>
  <c r="I423" i="2" s="1"/>
  <c r="I424" i="2" a="1"/>
  <c r="I424" i="2" s="1"/>
  <c r="I425" i="2" a="1"/>
  <c r="I425" i="2" s="1"/>
  <c r="I426" i="2" a="1"/>
  <c r="I426" i="2" s="1"/>
  <c r="I427" i="2" a="1"/>
  <c r="I427" i="2" s="1"/>
  <c r="I428" i="2" a="1"/>
  <c r="I428" i="2" s="1"/>
  <c r="I429" i="2" a="1"/>
  <c r="I429" i="2" s="1"/>
  <c r="I430" i="2" a="1"/>
  <c r="I430" i="2" s="1"/>
  <c r="I431" i="2" a="1"/>
  <c r="I431" i="2" s="1"/>
  <c r="I432" i="2" a="1"/>
  <c r="I432" i="2" s="1"/>
  <c r="I433" i="2" a="1"/>
  <c r="I433" i="2" s="1"/>
  <c r="I434" i="2" a="1"/>
  <c r="I434" i="2" s="1"/>
  <c r="I435" i="2" a="1"/>
  <c r="I435" i="2" s="1"/>
  <c r="I436" i="2" a="1"/>
  <c r="I436" i="2" s="1"/>
  <c r="I437" i="2" a="1"/>
  <c r="I437" i="2" s="1"/>
  <c r="I438" i="2" a="1"/>
  <c r="I438" i="2"/>
  <c r="I439" i="2" a="1"/>
  <c r="I439" i="2" s="1"/>
  <c r="I440" i="2" a="1"/>
  <c r="I440" i="2" s="1"/>
  <c r="I441" i="2" a="1"/>
  <c r="I441" i="2" s="1"/>
  <c r="I442" i="2" a="1"/>
  <c r="I442" i="2" s="1"/>
  <c r="I443" i="2" a="1"/>
  <c r="I443" i="2" s="1"/>
  <c r="I444" i="2" a="1"/>
  <c r="I444" i="2" s="1"/>
  <c r="I445" i="2" a="1"/>
  <c r="I445" i="2" s="1"/>
  <c r="I446" i="2" a="1"/>
  <c r="I446" i="2" s="1"/>
  <c r="I447" i="2" a="1"/>
  <c r="I447" i="2" s="1"/>
  <c r="I448" i="2" a="1"/>
  <c r="I448" i="2" s="1"/>
  <c r="I449" i="2" a="1"/>
  <c r="I449" i="2" s="1"/>
  <c r="I450" i="2" a="1"/>
  <c r="I450" i="2" s="1"/>
  <c r="I451" i="2" a="1"/>
  <c r="I451" i="2" s="1"/>
  <c r="I452" i="2" a="1"/>
  <c r="I452" i="2" s="1"/>
  <c r="I453" i="2" a="1"/>
  <c r="I453" i="2" s="1"/>
  <c r="I454" i="2" a="1"/>
  <c r="I454" i="2" s="1"/>
  <c r="I455" i="2" a="1"/>
  <c r="I455" i="2" s="1"/>
  <c r="I456" i="2" a="1"/>
  <c r="I456" i="2" s="1"/>
  <c r="I457" i="2" a="1"/>
  <c r="I457" i="2" s="1"/>
  <c r="I458" i="2" a="1"/>
  <c r="I458" i="2" s="1"/>
  <c r="I459" i="2" a="1"/>
  <c r="I459" i="2" s="1"/>
  <c r="I460" i="2" a="1"/>
  <c r="I460" i="2" s="1"/>
  <c r="I461" i="2" a="1"/>
  <c r="I461" i="2" s="1"/>
  <c r="I462" i="2" a="1"/>
  <c r="I462" i="2" s="1"/>
  <c r="I463" i="2" a="1"/>
  <c r="I463" i="2" s="1"/>
  <c r="I464" i="2" a="1"/>
  <c r="I464" i="2" s="1"/>
  <c r="I465" i="2" a="1"/>
  <c r="I465" i="2" s="1"/>
  <c r="I466" i="2" a="1"/>
  <c r="I466" i="2" s="1"/>
  <c r="I467" i="2" a="1"/>
  <c r="I467" i="2" s="1"/>
  <c r="I468" i="2" a="1"/>
  <c r="I468" i="2" s="1"/>
  <c r="I469" i="2" a="1"/>
  <c r="I469" i="2" s="1"/>
  <c r="I470" i="2" a="1"/>
  <c r="I470" i="2" s="1"/>
  <c r="I471" i="2" a="1"/>
  <c r="I471" i="2" s="1"/>
  <c r="I472" i="2" a="1"/>
  <c r="I472" i="2" s="1"/>
  <c r="I473" i="2" a="1"/>
  <c r="I473" i="2" s="1"/>
  <c r="I474" i="2" a="1"/>
  <c r="I474" i="2" s="1"/>
  <c r="I475" i="2" a="1"/>
  <c r="I475" i="2" s="1"/>
  <c r="I476" i="2" a="1"/>
  <c r="I476" i="2" s="1"/>
  <c r="I477" i="2" a="1"/>
  <c r="I477" i="2" s="1"/>
  <c r="I478" i="2" a="1"/>
  <c r="I478" i="2" s="1"/>
  <c r="I479" i="2" a="1"/>
  <c r="I479" i="2" s="1"/>
  <c r="I480" i="2" a="1"/>
  <c r="I480" i="2" s="1"/>
  <c r="I481" i="2" a="1"/>
  <c r="I481" i="2" s="1"/>
  <c r="I482" i="2" a="1"/>
  <c r="I482" i="2" s="1"/>
  <c r="I483" i="2" a="1"/>
  <c r="I483" i="2" s="1"/>
  <c r="I484" i="2" a="1"/>
  <c r="I484" i="2" s="1"/>
  <c r="I485" i="2" a="1"/>
  <c r="I485" i="2" s="1"/>
  <c r="I486" i="2" a="1"/>
  <c r="I486" i="2" s="1"/>
  <c r="I487" i="2" a="1"/>
  <c r="I487" i="2" s="1"/>
  <c r="I488" i="2" a="1"/>
  <c r="I488" i="2" s="1"/>
  <c r="I489" i="2" a="1"/>
  <c r="I489" i="2" s="1"/>
  <c r="I490" i="2" a="1"/>
  <c r="I490" i="2" s="1"/>
  <c r="I491" i="2" a="1"/>
  <c r="I491" i="2" s="1"/>
  <c r="I492" i="2" a="1"/>
  <c r="I492" i="2" s="1"/>
  <c r="I493" i="2" a="1"/>
  <c r="I493" i="2" s="1"/>
  <c r="I494" i="2" a="1"/>
  <c r="I494" i="2" s="1"/>
  <c r="I495" i="2" a="1"/>
  <c r="I495" i="2" s="1"/>
  <c r="I496" i="2" a="1"/>
  <c r="I496" i="2" s="1"/>
  <c r="I497" i="2" a="1"/>
  <c r="I497" i="2" s="1"/>
  <c r="I498" i="2" a="1"/>
  <c r="I498" i="2" s="1"/>
  <c r="I499" i="2" a="1"/>
  <c r="I499" i="2" s="1"/>
  <c r="I500" i="2" a="1"/>
  <c r="I500" i="2" s="1"/>
  <c r="I501" i="2" a="1"/>
  <c r="I501" i="2" s="1"/>
  <c r="I502" i="2" a="1"/>
  <c r="I502" i="2" s="1"/>
  <c r="I503" i="2" a="1"/>
  <c r="I503" i="2" s="1"/>
  <c r="I504" i="2" a="1"/>
  <c r="I504" i="2" s="1"/>
  <c r="I505" i="2" a="1"/>
  <c r="I505" i="2" s="1"/>
  <c r="I506" i="2" a="1"/>
  <c r="I506" i="2" s="1"/>
  <c r="J4" i="2" a="1"/>
  <c r="J4" i="2" s="1"/>
  <c r="J5" i="2" a="1"/>
  <c r="J5" i="2" s="1"/>
  <c r="J6" i="2" a="1"/>
  <c r="J6" i="2" s="1"/>
  <c r="J7" i="2" a="1"/>
  <c r="J7" i="2" s="1"/>
  <c r="J8" i="2" a="1"/>
  <c r="J8" i="2" s="1"/>
  <c r="J9" i="2" a="1"/>
  <c r="J9" i="2" s="1"/>
  <c r="J10" i="2" a="1"/>
  <c r="J10" i="2" s="1"/>
  <c r="J11" i="2" a="1"/>
  <c r="J11" i="2" s="1"/>
  <c r="J12" i="2" a="1"/>
  <c r="J12" i="2" s="1"/>
  <c r="J13" i="2" a="1"/>
  <c r="J13" i="2" s="1"/>
  <c r="J14" i="2" a="1"/>
  <c r="J14" i="2" s="1"/>
  <c r="J15" i="2" a="1"/>
  <c r="J15" i="2" s="1"/>
  <c r="J16" i="2" a="1"/>
  <c r="J16" i="2" s="1"/>
  <c r="J17" i="2" a="1"/>
  <c r="J17" i="2" s="1"/>
  <c r="J18" i="2" a="1"/>
  <c r="J18" i="2" s="1"/>
  <c r="J19" i="2" a="1"/>
  <c r="J19" i="2" s="1"/>
  <c r="J20" i="2" a="1"/>
  <c r="J20" i="2" s="1"/>
  <c r="J21" i="2" a="1"/>
  <c r="J21" i="2" s="1"/>
  <c r="J22" i="2" a="1"/>
  <c r="J22" i="2" s="1"/>
  <c r="J23" i="2" a="1"/>
  <c r="J23" i="2" s="1"/>
  <c r="J24" i="2" a="1"/>
  <c r="J24" i="2" s="1"/>
  <c r="J25" i="2" a="1"/>
  <c r="J25" i="2" s="1"/>
  <c r="J26" i="2" a="1"/>
  <c r="J26" i="2" s="1"/>
  <c r="J27" i="2" a="1"/>
  <c r="J27" i="2" s="1"/>
  <c r="J28" i="2" a="1"/>
  <c r="J28" i="2" s="1"/>
  <c r="J29" i="2" a="1"/>
  <c r="J29" i="2" s="1"/>
  <c r="J30" i="2" a="1"/>
  <c r="J30" i="2" s="1"/>
  <c r="J31" i="2" a="1"/>
  <c r="J31" i="2" s="1"/>
  <c r="J32" i="2" a="1"/>
  <c r="J32" i="2" s="1"/>
  <c r="J33" i="2" a="1"/>
  <c r="J33" i="2" s="1"/>
  <c r="J34" i="2" a="1"/>
  <c r="J34" i="2" s="1"/>
  <c r="J35" i="2" a="1"/>
  <c r="J35" i="2" s="1"/>
  <c r="J36" i="2" a="1"/>
  <c r="J36" i="2" s="1"/>
  <c r="J37" i="2" a="1"/>
  <c r="J37" i="2" s="1"/>
  <c r="J38" i="2" a="1"/>
  <c r="J38" i="2" s="1"/>
  <c r="J39" i="2" a="1"/>
  <c r="J39" i="2" s="1"/>
  <c r="J40" i="2" a="1"/>
  <c r="J40" i="2" s="1"/>
  <c r="J41" i="2" a="1"/>
  <c r="J41" i="2" s="1"/>
  <c r="J42" i="2" a="1"/>
  <c r="J42" i="2" s="1"/>
  <c r="J43" i="2" a="1"/>
  <c r="J43" i="2" s="1"/>
  <c r="J44" i="2" a="1"/>
  <c r="J44" i="2" s="1"/>
  <c r="J45" i="2" a="1"/>
  <c r="J45" i="2" s="1"/>
  <c r="J46" i="2" a="1"/>
  <c r="J46" i="2" s="1"/>
  <c r="J47" i="2" a="1"/>
  <c r="J47" i="2" s="1"/>
  <c r="J48" i="2" a="1"/>
  <c r="J48" i="2" s="1"/>
  <c r="J49" i="2" a="1"/>
  <c r="J49" i="2" s="1"/>
  <c r="J50" i="2" a="1"/>
  <c r="J50" i="2" s="1"/>
  <c r="J51" i="2" a="1"/>
  <c r="J51" i="2" s="1"/>
  <c r="J52" i="2" a="1"/>
  <c r="J52" i="2" s="1"/>
  <c r="J53" i="2" a="1"/>
  <c r="J53" i="2" s="1"/>
  <c r="J54" i="2" a="1"/>
  <c r="J54" i="2" s="1"/>
  <c r="J55" i="2" a="1"/>
  <c r="J55" i="2" s="1"/>
  <c r="J56" i="2" a="1"/>
  <c r="J56" i="2" s="1"/>
  <c r="J57" i="2" a="1"/>
  <c r="J57" i="2" s="1"/>
  <c r="J58" i="2" a="1"/>
  <c r="J58" i="2" s="1"/>
  <c r="J59" i="2" a="1"/>
  <c r="J59" i="2" s="1"/>
  <c r="J60" i="2" a="1"/>
  <c r="J60" i="2" s="1"/>
  <c r="J61" i="2" a="1"/>
  <c r="J61" i="2" s="1"/>
  <c r="J62" i="2" a="1"/>
  <c r="J62" i="2" s="1"/>
  <c r="J63" i="2" a="1"/>
  <c r="J63" i="2" s="1"/>
  <c r="J64" i="2" a="1"/>
  <c r="J64" i="2" s="1"/>
  <c r="J65" i="2" a="1"/>
  <c r="J65" i="2" s="1"/>
  <c r="J66" i="2" a="1"/>
  <c r="J66" i="2" s="1"/>
  <c r="J67" i="2" a="1"/>
  <c r="J67" i="2" s="1"/>
  <c r="J68" i="2" a="1"/>
  <c r="J68" i="2" s="1"/>
  <c r="J69" i="2" a="1"/>
  <c r="J69" i="2" s="1"/>
  <c r="J70" i="2" a="1"/>
  <c r="J70" i="2" s="1"/>
  <c r="J71" i="2" a="1"/>
  <c r="J71" i="2" s="1"/>
  <c r="J72" i="2" a="1"/>
  <c r="J72" i="2" s="1"/>
  <c r="J73" i="2" a="1"/>
  <c r="J73" i="2" s="1"/>
  <c r="J74" i="2" a="1"/>
  <c r="J74" i="2" s="1"/>
  <c r="J75" i="2" a="1"/>
  <c r="J75" i="2" s="1"/>
  <c r="J76" i="2" a="1"/>
  <c r="J76" i="2" s="1"/>
  <c r="J77" i="2" a="1"/>
  <c r="J77" i="2" s="1"/>
  <c r="J78" i="2" a="1"/>
  <c r="J78" i="2" s="1"/>
  <c r="J79" i="2" a="1"/>
  <c r="J79" i="2" s="1"/>
  <c r="J80" i="2" a="1"/>
  <c r="J80" i="2" s="1"/>
  <c r="J81" i="2" a="1"/>
  <c r="J81" i="2" s="1"/>
  <c r="J82" i="2" a="1"/>
  <c r="J82" i="2" s="1"/>
  <c r="J83" i="2" a="1"/>
  <c r="J83" i="2" s="1"/>
  <c r="J84" i="2" a="1"/>
  <c r="J84" i="2" s="1"/>
  <c r="J85" i="2" a="1"/>
  <c r="J85" i="2" s="1"/>
  <c r="J86" i="2" a="1"/>
  <c r="J86" i="2" s="1"/>
  <c r="J87" i="2" a="1"/>
  <c r="J87" i="2" s="1"/>
  <c r="J88" i="2" a="1"/>
  <c r="J88" i="2" s="1"/>
  <c r="J89" i="2" a="1"/>
  <c r="J89" i="2" s="1"/>
  <c r="J90" i="2" a="1"/>
  <c r="J90" i="2" s="1"/>
  <c r="J91" i="2" a="1"/>
  <c r="J91" i="2" s="1"/>
  <c r="J92" i="2" a="1"/>
  <c r="J92" i="2" s="1"/>
  <c r="J93" i="2" a="1"/>
  <c r="J93" i="2" s="1"/>
  <c r="J94" i="2" a="1"/>
  <c r="J94" i="2" s="1"/>
  <c r="J95" i="2" a="1"/>
  <c r="J95" i="2" s="1"/>
  <c r="J96" i="2" a="1"/>
  <c r="J96" i="2" s="1"/>
  <c r="J97" i="2" a="1"/>
  <c r="J97" i="2" s="1"/>
  <c r="J98" i="2" a="1"/>
  <c r="J98" i="2" s="1"/>
  <c r="J99" i="2" a="1"/>
  <c r="J99" i="2" s="1"/>
  <c r="J100" i="2" a="1"/>
  <c r="J100" i="2" s="1"/>
  <c r="J101" i="2" a="1"/>
  <c r="J101" i="2" s="1"/>
  <c r="J102" i="2" a="1"/>
  <c r="J102" i="2" s="1"/>
  <c r="J103" i="2" a="1"/>
  <c r="J103" i="2" s="1"/>
  <c r="J104" i="2" a="1"/>
  <c r="J104" i="2" s="1"/>
  <c r="J105" i="2" a="1"/>
  <c r="J105" i="2" s="1"/>
  <c r="J106" i="2" a="1"/>
  <c r="J106" i="2" s="1"/>
  <c r="J107" i="2" a="1"/>
  <c r="J107" i="2" s="1"/>
  <c r="J108" i="2" a="1"/>
  <c r="J108" i="2" s="1"/>
  <c r="J109" i="2" a="1"/>
  <c r="J109" i="2" s="1"/>
  <c r="J110" i="2" a="1"/>
  <c r="J110" i="2" s="1"/>
  <c r="J111" i="2" a="1"/>
  <c r="J111" i="2" s="1"/>
  <c r="J112" i="2" a="1"/>
  <c r="J112" i="2" s="1"/>
  <c r="J113" i="2" a="1"/>
  <c r="J113" i="2" s="1"/>
  <c r="J114" i="2" a="1"/>
  <c r="J114" i="2" s="1"/>
  <c r="J115" i="2" a="1"/>
  <c r="J115" i="2" s="1"/>
  <c r="J116" i="2" a="1"/>
  <c r="J116" i="2" s="1"/>
  <c r="J117" i="2" a="1"/>
  <c r="J117" i="2" s="1"/>
  <c r="J118" i="2" a="1"/>
  <c r="J118" i="2" s="1"/>
  <c r="J119" i="2" a="1"/>
  <c r="J119" i="2" s="1"/>
  <c r="J120" i="2" a="1"/>
  <c r="J120" i="2" s="1"/>
  <c r="J121" i="2" a="1"/>
  <c r="J121" i="2" s="1"/>
  <c r="J122" i="2" a="1"/>
  <c r="J122" i="2" s="1"/>
  <c r="J123" i="2" a="1"/>
  <c r="J123" i="2" s="1"/>
  <c r="J124" i="2" a="1"/>
  <c r="J124" i="2" s="1"/>
  <c r="J125" i="2" a="1"/>
  <c r="J125" i="2" s="1"/>
  <c r="J126" i="2" a="1"/>
  <c r="J126" i="2" s="1"/>
  <c r="J127" i="2" a="1"/>
  <c r="J127" i="2" s="1"/>
  <c r="J128" i="2" a="1"/>
  <c r="J128" i="2" s="1"/>
  <c r="J129" i="2" a="1"/>
  <c r="J129" i="2" s="1"/>
  <c r="J130" i="2" a="1"/>
  <c r="J130" i="2" s="1"/>
  <c r="J131" i="2" a="1"/>
  <c r="J131" i="2" s="1"/>
  <c r="J132" i="2" a="1"/>
  <c r="J132" i="2" s="1"/>
  <c r="J133" i="2" a="1"/>
  <c r="J133" i="2" s="1"/>
  <c r="J134" i="2" a="1"/>
  <c r="J134" i="2" s="1"/>
  <c r="J135" i="2" a="1"/>
  <c r="J135" i="2" s="1"/>
  <c r="J136" i="2" a="1"/>
  <c r="J136" i="2" s="1"/>
  <c r="J137" i="2" a="1"/>
  <c r="J137" i="2" s="1"/>
  <c r="J138" i="2" a="1"/>
  <c r="J138" i="2" s="1"/>
  <c r="J139" i="2" a="1"/>
  <c r="J139" i="2" s="1"/>
  <c r="J140" i="2" a="1"/>
  <c r="J140" i="2" s="1"/>
  <c r="J141" i="2" a="1"/>
  <c r="J141" i="2" s="1"/>
  <c r="J142" i="2" a="1"/>
  <c r="J142" i="2" s="1"/>
  <c r="J143" i="2" a="1"/>
  <c r="J143" i="2" s="1"/>
  <c r="J144" i="2" a="1"/>
  <c r="J144" i="2" s="1"/>
  <c r="J145" i="2" a="1"/>
  <c r="J145" i="2" s="1"/>
  <c r="J146" i="2" a="1"/>
  <c r="J146" i="2" s="1"/>
  <c r="J147" i="2" a="1"/>
  <c r="J147" i="2" s="1"/>
  <c r="J148" i="2" a="1"/>
  <c r="J148" i="2" s="1"/>
  <c r="J149" i="2" a="1"/>
  <c r="J149" i="2" s="1"/>
  <c r="J150" i="2" a="1"/>
  <c r="J150" i="2"/>
  <c r="J151" i="2" a="1"/>
  <c r="J151" i="2" s="1"/>
  <c r="J152" i="2" a="1"/>
  <c r="J152" i="2" s="1"/>
  <c r="J153" i="2" a="1"/>
  <c r="J153" i="2"/>
  <c r="J154" i="2" a="1"/>
  <c r="J154" i="2" s="1"/>
  <c r="J155" i="2" a="1"/>
  <c r="J155" i="2" s="1"/>
  <c r="J156" i="2" a="1"/>
  <c r="J156" i="2" s="1"/>
  <c r="J157" i="2" a="1"/>
  <c r="J157" i="2" s="1"/>
  <c r="J158" i="2" a="1"/>
  <c r="J158" i="2" s="1"/>
  <c r="J159" i="2" a="1"/>
  <c r="J159" i="2" s="1"/>
  <c r="J160" i="2" a="1"/>
  <c r="J160" i="2" s="1"/>
  <c r="J161" i="2" a="1"/>
  <c r="J161" i="2" s="1"/>
  <c r="J162" i="2" a="1"/>
  <c r="J162" i="2" s="1"/>
  <c r="J163" i="2" a="1"/>
  <c r="J163" i="2" s="1"/>
  <c r="J164" i="2" a="1"/>
  <c r="J164" i="2" s="1"/>
  <c r="J165" i="2" a="1"/>
  <c r="J165" i="2" s="1"/>
  <c r="J166" i="2" a="1"/>
  <c r="J166" i="2" s="1"/>
  <c r="J167" i="2" a="1"/>
  <c r="J167" i="2" s="1"/>
  <c r="J168" i="2" a="1"/>
  <c r="J168" i="2" s="1"/>
  <c r="J169" i="2" a="1"/>
  <c r="J169" i="2" s="1"/>
  <c r="J170" i="2" a="1"/>
  <c r="J170" i="2" s="1"/>
  <c r="J171" i="2" a="1"/>
  <c r="J171" i="2" s="1"/>
  <c r="J172" i="2" a="1"/>
  <c r="J172" i="2" s="1"/>
  <c r="J173" i="2" a="1"/>
  <c r="J173" i="2" s="1"/>
  <c r="J174" i="2" a="1"/>
  <c r="J174" i="2" s="1"/>
  <c r="J175" i="2" a="1"/>
  <c r="J175" i="2" s="1"/>
  <c r="J176" i="2" a="1"/>
  <c r="J176" i="2" s="1"/>
  <c r="J177" i="2" a="1"/>
  <c r="J177" i="2" s="1"/>
  <c r="J178" i="2" a="1"/>
  <c r="J178" i="2" s="1"/>
  <c r="J179" i="2" a="1"/>
  <c r="J179" i="2" s="1"/>
  <c r="J180" i="2" a="1"/>
  <c r="J180" i="2" s="1"/>
  <c r="J181" i="2" a="1"/>
  <c r="J181" i="2" s="1"/>
  <c r="J182" i="2" a="1"/>
  <c r="J182" i="2" s="1"/>
  <c r="J183" i="2" a="1"/>
  <c r="J183" i="2" s="1"/>
  <c r="J184" i="2" a="1"/>
  <c r="J184" i="2" s="1"/>
  <c r="J185" i="2" a="1"/>
  <c r="J185" i="2" s="1"/>
  <c r="J186" i="2" a="1"/>
  <c r="J186" i="2" s="1"/>
  <c r="J187" i="2" a="1"/>
  <c r="J187" i="2" s="1"/>
  <c r="J188" i="2" a="1"/>
  <c r="J188" i="2" s="1"/>
  <c r="J189" i="2" a="1"/>
  <c r="J189" i="2" s="1"/>
  <c r="J190" i="2" a="1"/>
  <c r="J190" i="2" s="1"/>
  <c r="J191" i="2" a="1"/>
  <c r="J191" i="2" s="1"/>
  <c r="J192" i="2" a="1"/>
  <c r="J192" i="2" s="1"/>
  <c r="J193" i="2" a="1"/>
  <c r="J193" i="2" s="1"/>
  <c r="J194" i="2" a="1"/>
  <c r="J194" i="2" s="1"/>
  <c r="J195" i="2" a="1"/>
  <c r="J195" i="2" s="1"/>
  <c r="J196" i="2" a="1"/>
  <c r="J196" i="2" s="1"/>
  <c r="J197" i="2" a="1"/>
  <c r="J197" i="2" s="1"/>
  <c r="J198" i="2" a="1"/>
  <c r="J198" i="2" s="1"/>
  <c r="J199" i="2" a="1"/>
  <c r="J199" i="2" s="1"/>
  <c r="J200" i="2" a="1"/>
  <c r="J200" i="2" s="1"/>
  <c r="J201" i="2" a="1"/>
  <c r="J201" i="2" s="1"/>
  <c r="J202" i="2" a="1"/>
  <c r="J202" i="2" s="1"/>
  <c r="J203" i="2" a="1"/>
  <c r="J203" i="2" s="1"/>
  <c r="J204" i="2" a="1"/>
  <c r="J204" i="2" s="1"/>
  <c r="J205" i="2" a="1"/>
  <c r="J205" i="2" s="1"/>
  <c r="J206" i="2" a="1"/>
  <c r="J206" i="2" s="1"/>
  <c r="J207" i="2" a="1"/>
  <c r="J207" i="2" s="1"/>
  <c r="J208" i="2" a="1"/>
  <c r="J208" i="2" s="1"/>
  <c r="J209" i="2" a="1"/>
  <c r="J209" i="2" s="1"/>
  <c r="J210" i="2" a="1"/>
  <c r="J210" i="2" s="1"/>
  <c r="J211" i="2" a="1"/>
  <c r="J211" i="2" s="1"/>
  <c r="J212" i="2" a="1"/>
  <c r="J212" i="2" s="1"/>
  <c r="J213" i="2" a="1"/>
  <c r="J213" i="2" s="1"/>
  <c r="J214" i="2" a="1"/>
  <c r="J214" i="2" s="1"/>
  <c r="J215" i="2" a="1"/>
  <c r="J215" i="2" s="1"/>
  <c r="J216" i="2" a="1"/>
  <c r="J216" i="2" s="1"/>
  <c r="J217" i="2" a="1"/>
  <c r="J217" i="2" s="1"/>
  <c r="J218" i="2" a="1"/>
  <c r="J218" i="2" s="1"/>
  <c r="J219" i="2" a="1"/>
  <c r="J219" i="2" s="1"/>
  <c r="J220" i="2" a="1"/>
  <c r="J220" i="2" s="1"/>
  <c r="J221" i="2" a="1"/>
  <c r="J221" i="2" s="1"/>
  <c r="J222" i="2" a="1"/>
  <c r="J222" i="2" s="1"/>
  <c r="J223" i="2" a="1"/>
  <c r="J223" i="2" s="1"/>
  <c r="J224" i="2" a="1"/>
  <c r="J224" i="2" s="1"/>
  <c r="J225" i="2" a="1"/>
  <c r="J225" i="2" s="1"/>
  <c r="J226" i="2" a="1"/>
  <c r="J226" i="2" s="1"/>
  <c r="J227" i="2" a="1"/>
  <c r="J227" i="2" s="1"/>
  <c r="J228" i="2" a="1"/>
  <c r="J228" i="2" s="1"/>
  <c r="J229" i="2" a="1"/>
  <c r="J229" i="2" s="1"/>
  <c r="J230" i="2" a="1"/>
  <c r="J230" i="2" s="1"/>
  <c r="J231" i="2" a="1"/>
  <c r="J231" i="2" s="1"/>
  <c r="J232" i="2" a="1"/>
  <c r="J232" i="2" s="1"/>
  <c r="J233" i="2" a="1"/>
  <c r="J233" i="2" s="1"/>
  <c r="J234" i="2" a="1"/>
  <c r="J234" i="2" s="1"/>
  <c r="J235" i="2" a="1"/>
  <c r="J235" i="2" s="1"/>
  <c r="J236" i="2" a="1"/>
  <c r="J236" i="2" s="1"/>
  <c r="J237" i="2" a="1"/>
  <c r="J237" i="2" s="1"/>
  <c r="J238" i="2" a="1"/>
  <c r="J238" i="2" s="1"/>
  <c r="J239" i="2" a="1"/>
  <c r="J239" i="2" s="1"/>
  <c r="J240" i="2" a="1"/>
  <c r="J240" i="2" s="1"/>
  <c r="J241" i="2" a="1"/>
  <c r="J241" i="2" s="1"/>
  <c r="J242" i="2" a="1"/>
  <c r="J242" i="2" s="1"/>
  <c r="J243" i="2" a="1"/>
  <c r="J243" i="2" s="1"/>
  <c r="J244" i="2" a="1"/>
  <c r="J244" i="2" s="1"/>
  <c r="J245" i="2" a="1"/>
  <c r="J245" i="2" s="1"/>
  <c r="J246" i="2" a="1"/>
  <c r="J246" i="2" s="1"/>
  <c r="J247" i="2" a="1"/>
  <c r="J247" i="2" s="1"/>
  <c r="J248" i="2" a="1"/>
  <c r="J248" i="2" s="1"/>
  <c r="J249" i="2" a="1"/>
  <c r="J249" i="2" s="1"/>
  <c r="J250" i="2" a="1"/>
  <c r="J250" i="2" s="1"/>
  <c r="J251" i="2" a="1"/>
  <c r="J251" i="2" s="1"/>
  <c r="J252" i="2" a="1"/>
  <c r="J252" i="2" s="1"/>
  <c r="J253" i="2" a="1"/>
  <c r="J253" i="2" s="1"/>
  <c r="J254" i="2" a="1"/>
  <c r="J254" i="2" s="1"/>
  <c r="J255" i="2" a="1"/>
  <c r="J255" i="2" s="1"/>
  <c r="J256" i="2" a="1"/>
  <c r="J256" i="2" s="1"/>
  <c r="J257" i="2" a="1"/>
  <c r="J257" i="2" s="1"/>
  <c r="J258" i="2" a="1"/>
  <c r="J258" i="2" s="1"/>
  <c r="J259" i="2" a="1"/>
  <c r="J259" i="2" s="1"/>
  <c r="J260" i="2" a="1"/>
  <c r="J260" i="2" s="1"/>
  <c r="J261" i="2" a="1"/>
  <c r="J261" i="2" s="1"/>
  <c r="J262" i="2" a="1"/>
  <c r="J262" i="2" s="1"/>
  <c r="J263" i="2" a="1"/>
  <c r="J263" i="2" s="1"/>
  <c r="J264" i="2" a="1"/>
  <c r="J264" i="2" s="1"/>
  <c r="J265" i="2" a="1"/>
  <c r="J265" i="2" s="1"/>
  <c r="J266" i="2" a="1"/>
  <c r="J266" i="2" s="1"/>
  <c r="J267" i="2" a="1"/>
  <c r="J267" i="2" s="1"/>
  <c r="J268" i="2" a="1"/>
  <c r="J268" i="2" s="1"/>
  <c r="J269" i="2" a="1"/>
  <c r="J269" i="2" s="1"/>
  <c r="J270" i="2" a="1"/>
  <c r="J270" i="2" s="1"/>
  <c r="J271" i="2" a="1"/>
  <c r="J271" i="2" s="1"/>
  <c r="J272" i="2" a="1"/>
  <c r="J272" i="2" s="1"/>
  <c r="J273" i="2" a="1"/>
  <c r="J273" i="2" s="1"/>
  <c r="J274" i="2" a="1"/>
  <c r="J274" i="2" s="1"/>
  <c r="J275" i="2" a="1"/>
  <c r="J275" i="2" s="1"/>
  <c r="J276" i="2" a="1"/>
  <c r="J276" i="2" s="1"/>
  <c r="J277" i="2" a="1"/>
  <c r="J277" i="2" s="1"/>
  <c r="J278" i="2" a="1"/>
  <c r="J278" i="2" s="1"/>
  <c r="J279" i="2" a="1"/>
  <c r="J279" i="2" s="1"/>
  <c r="J280" i="2" a="1"/>
  <c r="J280" i="2" s="1"/>
  <c r="J281" i="2" a="1"/>
  <c r="J281" i="2" s="1"/>
  <c r="J282" i="2" a="1"/>
  <c r="J282" i="2" s="1"/>
  <c r="J283" i="2" a="1"/>
  <c r="J283" i="2" s="1"/>
  <c r="J284" i="2" a="1"/>
  <c r="J284" i="2" s="1"/>
  <c r="J285" i="2" a="1"/>
  <c r="J285" i="2" s="1"/>
  <c r="J286" i="2" a="1"/>
  <c r="J286" i="2" s="1"/>
  <c r="J287" i="2" a="1"/>
  <c r="J287" i="2" s="1"/>
  <c r="J288" i="2" a="1"/>
  <c r="J288" i="2" s="1"/>
  <c r="J289" i="2" a="1"/>
  <c r="J289" i="2" s="1"/>
  <c r="J290" i="2" a="1"/>
  <c r="J290" i="2" s="1"/>
  <c r="J291" i="2" a="1"/>
  <c r="J291" i="2" s="1"/>
  <c r="J292" i="2" a="1"/>
  <c r="J292" i="2" s="1"/>
  <c r="J293" i="2" a="1"/>
  <c r="J293" i="2" s="1"/>
  <c r="J294" i="2" a="1"/>
  <c r="J294" i="2" s="1"/>
  <c r="J295" i="2" a="1"/>
  <c r="J295" i="2" s="1"/>
  <c r="J296" i="2" a="1"/>
  <c r="J296" i="2" s="1"/>
  <c r="J297" i="2" a="1"/>
  <c r="J297" i="2" s="1"/>
  <c r="J298" i="2" a="1"/>
  <c r="J298" i="2" s="1"/>
  <c r="J299" i="2" a="1"/>
  <c r="J299" i="2" s="1"/>
  <c r="J300" i="2" a="1"/>
  <c r="J300" i="2" s="1"/>
  <c r="J301" i="2" a="1"/>
  <c r="J301" i="2" s="1"/>
  <c r="J302" i="2" a="1"/>
  <c r="J302" i="2" s="1"/>
  <c r="J303" i="2" a="1"/>
  <c r="J303" i="2" s="1"/>
  <c r="J304" i="2" a="1"/>
  <c r="J304" i="2" s="1"/>
  <c r="J305" i="2" a="1"/>
  <c r="J305" i="2" s="1"/>
  <c r="J306" i="2" a="1"/>
  <c r="J306" i="2" s="1"/>
  <c r="J307" i="2" a="1"/>
  <c r="J307" i="2" s="1"/>
  <c r="J308" i="2" a="1"/>
  <c r="J308" i="2" s="1"/>
  <c r="J309" i="2" a="1"/>
  <c r="J309" i="2" s="1"/>
  <c r="J310" i="2" a="1"/>
  <c r="J310" i="2" s="1"/>
  <c r="J311" i="2" a="1"/>
  <c r="J311" i="2" s="1"/>
  <c r="J312" i="2" a="1"/>
  <c r="J312" i="2" s="1"/>
  <c r="J313" i="2" a="1"/>
  <c r="J313" i="2" s="1"/>
  <c r="J314" i="2" a="1"/>
  <c r="J314" i="2" s="1"/>
  <c r="J315" i="2" a="1"/>
  <c r="J315" i="2" s="1"/>
  <c r="J316" i="2" a="1"/>
  <c r="J316" i="2" s="1"/>
  <c r="J317" i="2" a="1"/>
  <c r="J317" i="2" s="1"/>
  <c r="J318" i="2" a="1"/>
  <c r="J318" i="2" s="1"/>
  <c r="J319" i="2" a="1"/>
  <c r="J319" i="2" s="1"/>
  <c r="J320" i="2" a="1"/>
  <c r="J320" i="2" s="1"/>
  <c r="J321" i="2" a="1"/>
  <c r="J321" i="2" s="1"/>
  <c r="J322" i="2" a="1"/>
  <c r="J322" i="2" s="1"/>
  <c r="J323" i="2" a="1"/>
  <c r="J323" i="2" s="1"/>
  <c r="J324" i="2" a="1"/>
  <c r="J324" i="2" s="1"/>
  <c r="J325" i="2" a="1"/>
  <c r="J325" i="2" s="1"/>
  <c r="J326" i="2" a="1"/>
  <c r="J326" i="2" s="1"/>
  <c r="J327" i="2" a="1"/>
  <c r="J327" i="2" s="1"/>
  <c r="J328" i="2" a="1"/>
  <c r="J328" i="2" s="1"/>
  <c r="J329" i="2" a="1"/>
  <c r="J329" i="2" s="1"/>
  <c r="J330" i="2" a="1"/>
  <c r="J330" i="2" s="1"/>
  <c r="J331" i="2" a="1"/>
  <c r="J331" i="2" s="1"/>
  <c r="J332" i="2" a="1"/>
  <c r="J332" i="2" s="1"/>
  <c r="J333" i="2" a="1"/>
  <c r="J333" i="2" s="1"/>
  <c r="J334" i="2" a="1"/>
  <c r="J334" i="2" s="1"/>
  <c r="J335" i="2" a="1"/>
  <c r="J335" i="2" s="1"/>
  <c r="J336" i="2" a="1"/>
  <c r="J336" i="2" s="1"/>
  <c r="J337" i="2" a="1"/>
  <c r="J337" i="2" s="1"/>
  <c r="J338" i="2" a="1"/>
  <c r="J338" i="2" s="1"/>
  <c r="J339" i="2" a="1"/>
  <c r="J339" i="2" s="1"/>
  <c r="J340" i="2" a="1"/>
  <c r="J340" i="2" s="1"/>
  <c r="J341" i="2" a="1"/>
  <c r="J341" i="2" s="1"/>
  <c r="J342" i="2" a="1"/>
  <c r="J342" i="2" s="1"/>
  <c r="J343" i="2" a="1"/>
  <c r="J343" i="2" s="1"/>
  <c r="J344" i="2" a="1"/>
  <c r="J344" i="2" s="1"/>
  <c r="J345" i="2" a="1"/>
  <c r="J345" i="2" s="1"/>
  <c r="J346" i="2" a="1"/>
  <c r="J346" i="2" s="1"/>
  <c r="J347" i="2" a="1"/>
  <c r="J347" i="2" s="1"/>
  <c r="J348" i="2" a="1"/>
  <c r="J348" i="2" s="1"/>
  <c r="J349" i="2" a="1"/>
  <c r="J349" i="2" s="1"/>
  <c r="J350" i="2" a="1"/>
  <c r="J350" i="2" s="1"/>
  <c r="J351" i="2" a="1"/>
  <c r="J351" i="2" s="1"/>
  <c r="J352" i="2" a="1"/>
  <c r="J352" i="2" s="1"/>
  <c r="J353" i="2" a="1"/>
  <c r="J353" i="2" s="1"/>
  <c r="J354" i="2" a="1"/>
  <c r="J354" i="2" s="1"/>
  <c r="J355" i="2" a="1"/>
  <c r="J355" i="2" s="1"/>
  <c r="J356" i="2" a="1"/>
  <c r="J356" i="2" s="1"/>
  <c r="J357" i="2" a="1"/>
  <c r="J357" i="2" s="1"/>
  <c r="J358" i="2" a="1"/>
  <c r="J358" i="2" s="1"/>
  <c r="J359" i="2" a="1"/>
  <c r="J359" i="2" s="1"/>
  <c r="J360" i="2" a="1"/>
  <c r="J360" i="2" s="1"/>
  <c r="J361" i="2" a="1"/>
  <c r="J361" i="2" s="1"/>
  <c r="J362" i="2" a="1"/>
  <c r="J362" i="2" s="1"/>
  <c r="J363" i="2" a="1"/>
  <c r="J363" i="2" s="1"/>
  <c r="J364" i="2" a="1"/>
  <c r="J364" i="2" s="1"/>
  <c r="J365" i="2" a="1"/>
  <c r="J365" i="2" s="1"/>
  <c r="J366" i="2" a="1"/>
  <c r="J366" i="2" s="1"/>
  <c r="J367" i="2" a="1"/>
  <c r="J367" i="2" s="1"/>
  <c r="J368" i="2" a="1"/>
  <c r="J368" i="2" s="1"/>
  <c r="J369" i="2" a="1"/>
  <c r="J369" i="2" s="1"/>
  <c r="J370" i="2" a="1"/>
  <c r="J370" i="2" s="1"/>
  <c r="J371" i="2" a="1"/>
  <c r="J371" i="2" s="1"/>
  <c r="J372" i="2" a="1"/>
  <c r="J372" i="2" s="1"/>
  <c r="J373" i="2" a="1"/>
  <c r="J373" i="2" s="1"/>
  <c r="J374" i="2" a="1"/>
  <c r="J374" i="2" s="1"/>
  <c r="J375" i="2" a="1"/>
  <c r="J375" i="2" s="1"/>
  <c r="J376" i="2" a="1"/>
  <c r="J376" i="2" s="1"/>
  <c r="J377" i="2" a="1"/>
  <c r="J377" i="2" s="1"/>
  <c r="J378" i="2" a="1"/>
  <c r="J378" i="2" s="1"/>
  <c r="J379" i="2" a="1"/>
  <c r="J379" i="2" s="1"/>
  <c r="J380" i="2" a="1"/>
  <c r="J380" i="2" s="1"/>
  <c r="J381" i="2" a="1"/>
  <c r="J381" i="2" s="1"/>
  <c r="J382" i="2" a="1"/>
  <c r="J382" i="2" s="1"/>
  <c r="J383" i="2" a="1"/>
  <c r="J383" i="2" s="1"/>
  <c r="J384" i="2" a="1"/>
  <c r="J384" i="2" s="1"/>
  <c r="J385" i="2" a="1"/>
  <c r="J385" i="2" s="1"/>
  <c r="J386" i="2" a="1"/>
  <c r="J386" i="2" s="1"/>
  <c r="J387" i="2" a="1"/>
  <c r="J387" i="2" s="1"/>
  <c r="J388" i="2" a="1"/>
  <c r="J388" i="2" s="1"/>
  <c r="J389" i="2" a="1"/>
  <c r="J389" i="2" s="1"/>
  <c r="J390" i="2" a="1"/>
  <c r="J390" i="2" s="1"/>
  <c r="J391" i="2" a="1"/>
  <c r="J391" i="2" s="1"/>
  <c r="J392" i="2" a="1"/>
  <c r="J392" i="2" s="1"/>
  <c r="J393" i="2" a="1"/>
  <c r="J393" i="2" s="1"/>
  <c r="J394" i="2" a="1"/>
  <c r="J394" i="2" s="1"/>
  <c r="J395" i="2" a="1"/>
  <c r="J395" i="2" s="1"/>
  <c r="J396" i="2" a="1"/>
  <c r="J396" i="2" s="1"/>
  <c r="J397" i="2" a="1"/>
  <c r="J397" i="2" s="1"/>
  <c r="J398" i="2" a="1"/>
  <c r="J398" i="2" s="1"/>
  <c r="J399" i="2" a="1"/>
  <c r="J399" i="2" s="1"/>
  <c r="J400" i="2" a="1"/>
  <c r="J400" i="2" s="1"/>
  <c r="J401" i="2" a="1"/>
  <c r="J401" i="2" s="1"/>
  <c r="J402" i="2" a="1"/>
  <c r="J402" i="2" s="1"/>
  <c r="J403" i="2" a="1"/>
  <c r="J403" i="2" s="1"/>
  <c r="J404" i="2" a="1"/>
  <c r="J404" i="2" s="1"/>
  <c r="J405" i="2" a="1"/>
  <c r="J405" i="2" s="1"/>
  <c r="J406" i="2" a="1"/>
  <c r="J406" i="2" s="1"/>
  <c r="J407" i="2" a="1"/>
  <c r="J407" i="2" s="1"/>
  <c r="J408" i="2" a="1"/>
  <c r="J408" i="2" s="1"/>
  <c r="J409" i="2" a="1"/>
  <c r="J409" i="2" s="1"/>
  <c r="J410" i="2" a="1"/>
  <c r="J410" i="2" s="1"/>
  <c r="J411" i="2" a="1"/>
  <c r="J411" i="2" s="1"/>
  <c r="J412" i="2" a="1"/>
  <c r="J412" i="2" s="1"/>
  <c r="J413" i="2" a="1"/>
  <c r="J413" i="2" s="1"/>
  <c r="J414" i="2" a="1"/>
  <c r="J414" i="2" s="1"/>
  <c r="J415" i="2" a="1"/>
  <c r="J415" i="2" s="1"/>
  <c r="J416" i="2" a="1"/>
  <c r="J416" i="2" s="1"/>
  <c r="J417" i="2" a="1"/>
  <c r="J417" i="2" s="1"/>
  <c r="J418" i="2" a="1"/>
  <c r="J418" i="2" s="1"/>
  <c r="J419" i="2" a="1"/>
  <c r="J419" i="2" s="1"/>
  <c r="J420" i="2" a="1"/>
  <c r="J420" i="2" s="1"/>
  <c r="J421" i="2" a="1"/>
  <c r="J421" i="2" s="1"/>
  <c r="J422" i="2" a="1"/>
  <c r="J422" i="2" s="1"/>
  <c r="J423" i="2" a="1"/>
  <c r="J423" i="2" s="1"/>
  <c r="J424" i="2" a="1"/>
  <c r="J424" i="2" s="1"/>
  <c r="J425" i="2" a="1"/>
  <c r="J425" i="2" s="1"/>
  <c r="J426" i="2" a="1"/>
  <c r="J426" i="2" s="1"/>
  <c r="J427" i="2" a="1"/>
  <c r="J427" i="2" s="1"/>
  <c r="J428" i="2" a="1"/>
  <c r="J428" i="2" s="1"/>
  <c r="J429" i="2" a="1"/>
  <c r="J429" i="2" s="1"/>
  <c r="J430" i="2" a="1"/>
  <c r="J430" i="2" s="1"/>
  <c r="J431" i="2" a="1"/>
  <c r="J431" i="2" s="1"/>
  <c r="J432" i="2" a="1"/>
  <c r="J432" i="2" s="1"/>
  <c r="J433" i="2" a="1"/>
  <c r="J433" i="2" s="1"/>
  <c r="J434" i="2" a="1"/>
  <c r="J434" i="2" s="1"/>
  <c r="J435" i="2" a="1"/>
  <c r="J435" i="2" s="1"/>
  <c r="J436" i="2" a="1"/>
  <c r="J436" i="2" s="1"/>
  <c r="J437" i="2" a="1"/>
  <c r="J437" i="2" s="1"/>
  <c r="J438" i="2" a="1"/>
  <c r="J438" i="2" s="1"/>
  <c r="J439" i="2" a="1"/>
  <c r="J439" i="2" s="1"/>
  <c r="J440" i="2" a="1"/>
  <c r="J440" i="2" s="1"/>
  <c r="J441" i="2" a="1"/>
  <c r="J441" i="2" s="1"/>
  <c r="J442" i="2" a="1"/>
  <c r="J442" i="2" s="1"/>
  <c r="J443" i="2" a="1"/>
  <c r="J443" i="2" s="1"/>
  <c r="J444" i="2" a="1"/>
  <c r="J444" i="2" s="1"/>
  <c r="J445" i="2" a="1"/>
  <c r="J445" i="2" s="1"/>
  <c r="J446" i="2" a="1"/>
  <c r="J446" i="2" s="1"/>
  <c r="J447" i="2" a="1"/>
  <c r="J447" i="2" s="1"/>
  <c r="J448" i="2" a="1"/>
  <c r="J448" i="2" s="1"/>
  <c r="J449" i="2" a="1"/>
  <c r="J449" i="2" s="1"/>
  <c r="J450" i="2" a="1"/>
  <c r="J450" i="2" s="1"/>
  <c r="J451" i="2" a="1"/>
  <c r="J451" i="2" s="1"/>
  <c r="J452" i="2" a="1"/>
  <c r="J452" i="2" s="1"/>
  <c r="J453" i="2" a="1"/>
  <c r="J453" i="2" s="1"/>
  <c r="J454" i="2" a="1"/>
  <c r="J454" i="2" s="1"/>
  <c r="J455" i="2" a="1"/>
  <c r="J455" i="2" s="1"/>
  <c r="J456" i="2" a="1"/>
  <c r="J456" i="2" s="1"/>
  <c r="J457" i="2" a="1"/>
  <c r="J457" i="2" s="1"/>
  <c r="J458" i="2" a="1"/>
  <c r="J458" i="2" s="1"/>
  <c r="J459" i="2" a="1"/>
  <c r="J459" i="2" s="1"/>
  <c r="J460" i="2" a="1"/>
  <c r="J460" i="2" s="1"/>
  <c r="J461" i="2" a="1"/>
  <c r="J461" i="2" s="1"/>
  <c r="J462" i="2" a="1"/>
  <c r="J462" i="2" s="1"/>
  <c r="J463" i="2" a="1"/>
  <c r="J463" i="2" s="1"/>
  <c r="J464" i="2" a="1"/>
  <c r="J464" i="2" s="1"/>
  <c r="J465" i="2" a="1"/>
  <c r="J465" i="2" s="1"/>
  <c r="J466" i="2" a="1"/>
  <c r="J466" i="2" s="1"/>
  <c r="J467" i="2" a="1"/>
  <c r="J467" i="2" s="1"/>
  <c r="J468" i="2" a="1"/>
  <c r="J468" i="2" s="1"/>
  <c r="J469" i="2" a="1"/>
  <c r="J469" i="2" s="1"/>
  <c r="J470" i="2" a="1"/>
  <c r="J470" i="2" s="1"/>
  <c r="J471" i="2" a="1"/>
  <c r="J471" i="2" s="1"/>
  <c r="J472" i="2" a="1"/>
  <c r="J472" i="2" s="1"/>
  <c r="J473" i="2" a="1"/>
  <c r="J473" i="2" s="1"/>
  <c r="J474" i="2" a="1"/>
  <c r="J474" i="2" s="1"/>
  <c r="J475" i="2" a="1"/>
  <c r="J475" i="2" s="1"/>
  <c r="J476" i="2" a="1"/>
  <c r="J476" i="2" s="1"/>
  <c r="J477" i="2" a="1"/>
  <c r="J477" i="2" s="1"/>
  <c r="J478" i="2" a="1"/>
  <c r="J478" i="2" s="1"/>
  <c r="J479" i="2" a="1"/>
  <c r="J479" i="2" s="1"/>
  <c r="J480" i="2" a="1"/>
  <c r="J480" i="2" s="1"/>
  <c r="J481" i="2" a="1"/>
  <c r="J481" i="2" s="1"/>
  <c r="J482" i="2" a="1"/>
  <c r="J482" i="2" s="1"/>
  <c r="J483" i="2" a="1"/>
  <c r="J483" i="2" s="1"/>
  <c r="J484" i="2" a="1"/>
  <c r="J484" i="2" s="1"/>
  <c r="J485" i="2" a="1"/>
  <c r="J485" i="2" s="1"/>
  <c r="J486" i="2" a="1"/>
  <c r="J486" i="2" s="1"/>
  <c r="J487" i="2" a="1"/>
  <c r="J487" i="2" s="1"/>
  <c r="J488" i="2" a="1"/>
  <c r="J488" i="2" s="1"/>
  <c r="J489" i="2" a="1"/>
  <c r="J489" i="2" s="1"/>
  <c r="J490" i="2" a="1"/>
  <c r="J490" i="2" s="1"/>
  <c r="J491" i="2" a="1"/>
  <c r="J491" i="2" s="1"/>
  <c r="J492" i="2" a="1"/>
  <c r="J492" i="2" s="1"/>
  <c r="J493" i="2" a="1"/>
  <c r="J493" i="2" s="1"/>
  <c r="J494" i="2" a="1"/>
  <c r="J494" i="2" s="1"/>
  <c r="J495" i="2" a="1"/>
  <c r="J495" i="2" s="1"/>
  <c r="J496" i="2" a="1"/>
  <c r="J496" i="2" s="1"/>
  <c r="J497" i="2" a="1"/>
  <c r="J497" i="2" s="1"/>
  <c r="J498" i="2" a="1"/>
  <c r="J498" i="2" s="1"/>
  <c r="J499" i="2" a="1"/>
  <c r="J499" i="2" s="1"/>
  <c r="J500" i="2" a="1"/>
  <c r="J500" i="2" s="1"/>
  <c r="J501" i="2" a="1"/>
  <c r="J501" i="2" s="1"/>
  <c r="J502" i="2" a="1"/>
  <c r="J502" i="2" s="1"/>
  <c r="J503" i="2" a="1"/>
  <c r="J503" i="2" s="1"/>
  <c r="J504" i="2" a="1"/>
  <c r="J504" i="2" s="1"/>
  <c r="J505" i="2" a="1"/>
  <c r="J505" i="2" s="1"/>
  <c r="J506" i="2" a="1"/>
  <c r="J506" i="2" s="1"/>
  <c r="G3" i="4" a="1"/>
  <c r="D22" i="4"/>
  <c r="D4" i="4"/>
  <c r="D5" i="4"/>
  <c r="D6" i="4"/>
  <c r="D7" i="4"/>
  <c r="D8" i="4"/>
  <c r="D9" i="4"/>
  <c r="D10" i="4"/>
  <c r="D11" i="4"/>
  <c r="D12" i="4"/>
  <c r="D13" i="4"/>
  <c r="D14" i="4"/>
  <c r="D15" i="4"/>
  <c r="D16" i="4"/>
  <c r="D17" i="4"/>
  <c r="D18" i="4"/>
  <c r="D19" i="4"/>
  <c r="D20" i="4"/>
  <c r="D21" i="4"/>
  <c r="D3" i="4"/>
  <c r="E3" i="4"/>
  <c r="H8" i="4"/>
  <c r="H22" i="4"/>
  <c r="H10" i="4"/>
  <c r="H21" i="4"/>
  <c r="H15" i="4"/>
  <c r="H9" i="4"/>
  <c r="H14" i="4"/>
  <c r="H19" i="4"/>
  <c r="H13" i="4"/>
  <c r="H7" i="4"/>
  <c r="H18" i="4"/>
  <c r="H12" i="4"/>
  <c r="H6" i="4"/>
  <c r="H17" i="4"/>
  <c r="H11" i="4"/>
  <c r="H5" i="4"/>
  <c r="H20" i="4"/>
  <c r="H16" i="4"/>
  <c r="H4" i="4"/>
  <c r="E22" i="4"/>
  <c r="E4" i="4"/>
  <c r="E10" i="4"/>
  <c r="E16" i="4"/>
  <c r="E5" i="4"/>
  <c r="E11" i="4"/>
  <c r="E17" i="4"/>
  <c r="E15" i="4"/>
  <c r="E6" i="4"/>
  <c r="E12" i="4"/>
  <c r="E18" i="4"/>
  <c r="E21" i="4"/>
  <c r="E7" i="4"/>
  <c r="E13" i="4"/>
  <c r="E19" i="4"/>
  <c r="E8" i="4"/>
  <c r="E14" i="4"/>
  <c r="E20" i="4"/>
  <c r="E9" i="4"/>
  <c r="E20" i="3"/>
  <c r="E27" i="3"/>
  <c r="E19" i="3"/>
  <c r="E26" i="3"/>
  <c r="E30" i="3"/>
  <c r="E18" i="3"/>
  <c r="E22" i="3"/>
  <c r="E29" i="3"/>
  <c r="E21" i="3"/>
  <c r="E28" i="3"/>
  <c r="G3" i="4" l="1"/>
  <c r="E31" i="3"/>
  <c r="E23" i="3"/>
  <c r="H3"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43E6EBF-EB72-451A-8A51-EAD2413C7722}" keepAlive="1" name="Query - Table 0" description="Connection to the 'Table 0' query in the workbook." type="5" refreshedVersion="8" background="1" saveData="1">
    <dbPr connection="Provider=Microsoft.Mashup.OleDb.1;Data Source=$Workbook$;Location=&quot;Table 0&quot;;Extended Properties=&quot;&quot;" command="SELECT * FROM [Table 0]"/>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05">
    <bk>
      <extLst>
        <ext uri="{3e2802c4-a4d2-4d8b-9148-e3be6c30e623}">
          <xlrd:rvb i="2"/>
        </ext>
      </extLst>
    </bk>
    <bk>
      <extLst>
        <ext uri="{3e2802c4-a4d2-4d8b-9148-e3be6c30e623}">
          <xlrd:rvb i="9"/>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9"/>
        </ext>
      </extLst>
    </bk>
    <bk>
      <extLst>
        <ext uri="{3e2802c4-a4d2-4d8b-9148-e3be6c30e623}">
          <xlrd:rvb i="42"/>
        </ext>
      </extLst>
    </bk>
    <bk>
      <extLst>
        <ext uri="{3e2802c4-a4d2-4d8b-9148-e3be6c30e623}">
          <xlrd:rvb i="45"/>
        </ext>
      </extLst>
    </bk>
    <bk>
      <extLst>
        <ext uri="{3e2802c4-a4d2-4d8b-9148-e3be6c30e623}">
          <xlrd:rvb i="48"/>
        </ext>
      </extLst>
    </bk>
    <bk>
      <extLst>
        <ext uri="{3e2802c4-a4d2-4d8b-9148-e3be6c30e623}">
          <xlrd:rvb i="51"/>
        </ext>
      </extLst>
    </bk>
    <bk>
      <extLst>
        <ext uri="{3e2802c4-a4d2-4d8b-9148-e3be6c30e623}">
          <xlrd:rvb i="54"/>
        </ext>
      </extLst>
    </bk>
    <bk>
      <extLst>
        <ext uri="{3e2802c4-a4d2-4d8b-9148-e3be6c30e623}">
          <xlrd:rvb i="57"/>
        </ext>
      </extLst>
    </bk>
    <bk>
      <extLst>
        <ext uri="{3e2802c4-a4d2-4d8b-9148-e3be6c30e623}">
          <xlrd:rvb i="60"/>
        </ext>
      </extLst>
    </bk>
    <bk>
      <extLst>
        <ext uri="{3e2802c4-a4d2-4d8b-9148-e3be6c30e623}">
          <xlrd:rvb i="63"/>
        </ext>
      </extLst>
    </bk>
    <bk>
      <extLst>
        <ext uri="{3e2802c4-a4d2-4d8b-9148-e3be6c30e623}">
          <xlrd:rvb i="66"/>
        </ext>
      </extLst>
    </bk>
    <bk>
      <extLst>
        <ext uri="{3e2802c4-a4d2-4d8b-9148-e3be6c30e623}">
          <xlrd:rvb i="69"/>
        </ext>
      </extLst>
    </bk>
    <bk>
      <extLst>
        <ext uri="{3e2802c4-a4d2-4d8b-9148-e3be6c30e623}">
          <xlrd:rvb i="72"/>
        </ext>
      </extLst>
    </bk>
    <bk>
      <extLst>
        <ext uri="{3e2802c4-a4d2-4d8b-9148-e3be6c30e623}">
          <xlrd:rvb i="75"/>
        </ext>
      </extLst>
    </bk>
    <bk>
      <extLst>
        <ext uri="{3e2802c4-a4d2-4d8b-9148-e3be6c30e623}">
          <xlrd:rvb i="78"/>
        </ext>
      </extLst>
    </bk>
    <bk>
      <extLst>
        <ext uri="{3e2802c4-a4d2-4d8b-9148-e3be6c30e623}">
          <xlrd:rvb i="81"/>
        </ext>
      </extLst>
    </bk>
    <bk>
      <extLst>
        <ext uri="{3e2802c4-a4d2-4d8b-9148-e3be6c30e623}">
          <xlrd:rvb i="84"/>
        </ext>
      </extLst>
    </bk>
    <bk>
      <extLst>
        <ext uri="{3e2802c4-a4d2-4d8b-9148-e3be6c30e623}">
          <xlrd:rvb i="87"/>
        </ext>
      </extLst>
    </bk>
    <bk>
      <extLst>
        <ext uri="{3e2802c4-a4d2-4d8b-9148-e3be6c30e623}">
          <xlrd:rvb i="90"/>
        </ext>
      </extLst>
    </bk>
    <bk>
      <extLst>
        <ext uri="{3e2802c4-a4d2-4d8b-9148-e3be6c30e623}">
          <xlrd:rvb i="96"/>
        </ext>
      </extLst>
    </bk>
    <bk>
      <extLst>
        <ext uri="{3e2802c4-a4d2-4d8b-9148-e3be6c30e623}">
          <xlrd:rvb i="99"/>
        </ext>
      </extLst>
    </bk>
    <bk>
      <extLst>
        <ext uri="{3e2802c4-a4d2-4d8b-9148-e3be6c30e623}">
          <xlrd:rvb i="102"/>
        </ext>
      </extLst>
    </bk>
    <bk>
      <extLst>
        <ext uri="{3e2802c4-a4d2-4d8b-9148-e3be6c30e623}">
          <xlrd:rvb i="105"/>
        </ext>
      </extLst>
    </bk>
    <bk>
      <extLst>
        <ext uri="{3e2802c4-a4d2-4d8b-9148-e3be6c30e623}">
          <xlrd:rvb i="108"/>
        </ext>
      </extLst>
    </bk>
    <bk>
      <extLst>
        <ext uri="{3e2802c4-a4d2-4d8b-9148-e3be6c30e623}">
          <xlrd:rvb i="111"/>
        </ext>
      </extLst>
    </bk>
    <bk>
      <extLst>
        <ext uri="{3e2802c4-a4d2-4d8b-9148-e3be6c30e623}">
          <xlrd:rvb i="114"/>
        </ext>
      </extLst>
    </bk>
    <bk>
      <extLst>
        <ext uri="{3e2802c4-a4d2-4d8b-9148-e3be6c30e623}">
          <xlrd:rvb i="120"/>
        </ext>
      </extLst>
    </bk>
    <bk>
      <extLst>
        <ext uri="{3e2802c4-a4d2-4d8b-9148-e3be6c30e623}">
          <xlrd:rvb i="123"/>
        </ext>
      </extLst>
    </bk>
    <bk>
      <extLst>
        <ext uri="{3e2802c4-a4d2-4d8b-9148-e3be6c30e623}">
          <xlrd:rvb i="129"/>
        </ext>
      </extLst>
    </bk>
    <bk>
      <extLst>
        <ext uri="{3e2802c4-a4d2-4d8b-9148-e3be6c30e623}">
          <xlrd:rvb i="132"/>
        </ext>
      </extLst>
    </bk>
    <bk>
      <extLst>
        <ext uri="{3e2802c4-a4d2-4d8b-9148-e3be6c30e623}">
          <xlrd:rvb i="135"/>
        </ext>
      </extLst>
    </bk>
    <bk>
      <extLst>
        <ext uri="{3e2802c4-a4d2-4d8b-9148-e3be6c30e623}">
          <xlrd:rvb i="138"/>
        </ext>
      </extLst>
    </bk>
    <bk>
      <extLst>
        <ext uri="{3e2802c4-a4d2-4d8b-9148-e3be6c30e623}">
          <xlrd:rvb i="141"/>
        </ext>
      </extLst>
    </bk>
    <bk>
      <extLst>
        <ext uri="{3e2802c4-a4d2-4d8b-9148-e3be6c30e623}">
          <xlrd:rvb i="144"/>
        </ext>
      </extLst>
    </bk>
    <bk>
      <extLst>
        <ext uri="{3e2802c4-a4d2-4d8b-9148-e3be6c30e623}">
          <xlrd:rvb i="147"/>
        </ext>
      </extLst>
    </bk>
    <bk>
      <extLst>
        <ext uri="{3e2802c4-a4d2-4d8b-9148-e3be6c30e623}">
          <xlrd:rvb i="150"/>
        </ext>
      </extLst>
    </bk>
    <bk>
      <extLst>
        <ext uri="{3e2802c4-a4d2-4d8b-9148-e3be6c30e623}">
          <xlrd:rvb i="153"/>
        </ext>
      </extLst>
    </bk>
    <bk>
      <extLst>
        <ext uri="{3e2802c4-a4d2-4d8b-9148-e3be6c30e623}">
          <xlrd:rvb i="156"/>
        </ext>
      </extLst>
    </bk>
    <bk>
      <extLst>
        <ext uri="{3e2802c4-a4d2-4d8b-9148-e3be6c30e623}">
          <xlrd:rvb i="162"/>
        </ext>
      </extLst>
    </bk>
    <bk>
      <extLst>
        <ext uri="{3e2802c4-a4d2-4d8b-9148-e3be6c30e623}">
          <xlrd:rvb i="165"/>
        </ext>
      </extLst>
    </bk>
    <bk>
      <extLst>
        <ext uri="{3e2802c4-a4d2-4d8b-9148-e3be6c30e623}">
          <xlrd:rvb i="168"/>
        </ext>
      </extLst>
    </bk>
    <bk>
      <extLst>
        <ext uri="{3e2802c4-a4d2-4d8b-9148-e3be6c30e623}">
          <xlrd:rvb i="171"/>
        </ext>
      </extLst>
    </bk>
    <bk>
      <extLst>
        <ext uri="{3e2802c4-a4d2-4d8b-9148-e3be6c30e623}">
          <xlrd:rvb i="174"/>
        </ext>
      </extLst>
    </bk>
    <bk>
      <extLst>
        <ext uri="{3e2802c4-a4d2-4d8b-9148-e3be6c30e623}">
          <xlrd:rvb i="180"/>
        </ext>
      </extLst>
    </bk>
    <bk>
      <extLst>
        <ext uri="{3e2802c4-a4d2-4d8b-9148-e3be6c30e623}">
          <xlrd:rvb i="186"/>
        </ext>
      </extLst>
    </bk>
    <bk>
      <extLst>
        <ext uri="{3e2802c4-a4d2-4d8b-9148-e3be6c30e623}">
          <xlrd:rvb i="189"/>
        </ext>
      </extLst>
    </bk>
    <bk>
      <extLst>
        <ext uri="{3e2802c4-a4d2-4d8b-9148-e3be6c30e623}">
          <xlrd:rvb i="192"/>
        </ext>
      </extLst>
    </bk>
    <bk>
      <extLst>
        <ext uri="{3e2802c4-a4d2-4d8b-9148-e3be6c30e623}">
          <xlrd:rvb i="195"/>
        </ext>
      </extLst>
    </bk>
    <bk>
      <extLst>
        <ext uri="{3e2802c4-a4d2-4d8b-9148-e3be6c30e623}">
          <xlrd:rvb i="201"/>
        </ext>
      </extLst>
    </bk>
    <bk>
      <extLst>
        <ext uri="{3e2802c4-a4d2-4d8b-9148-e3be6c30e623}">
          <xlrd:rvb i="204"/>
        </ext>
      </extLst>
    </bk>
    <bk>
      <extLst>
        <ext uri="{3e2802c4-a4d2-4d8b-9148-e3be6c30e623}">
          <xlrd:rvb i="207"/>
        </ext>
      </extLst>
    </bk>
    <bk>
      <extLst>
        <ext uri="{3e2802c4-a4d2-4d8b-9148-e3be6c30e623}">
          <xlrd:rvb i="210"/>
        </ext>
      </extLst>
    </bk>
    <bk>
      <extLst>
        <ext uri="{3e2802c4-a4d2-4d8b-9148-e3be6c30e623}">
          <xlrd:rvb i="213"/>
        </ext>
      </extLst>
    </bk>
    <bk>
      <extLst>
        <ext uri="{3e2802c4-a4d2-4d8b-9148-e3be6c30e623}">
          <xlrd:rvb i="216"/>
        </ext>
      </extLst>
    </bk>
    <bk>
      <extLst>
        <ext uri="{3e2802c4-a4d2-4d8b-9148-e3be6c30e623}">
          <xlrd:rvb i="219"/>
        </ext>
      </extLst>
    </bk>
    <bk>
      <extLst>
        <ext uri="{3e2802c4-a4d2-4d8b-9148-e3be6c30e623}">
          <xlrd:rvb i="222"/>
        </ext>
      </extLst>
    </bk>
    <bk>
      <extLst>
        <ext uri="{3e2802c4-a4d2-4d8b-9148-e3be6c30e623}">
          <xlrd:rvb i="225"/>
        </ext>
      </extLst>
    </bk>
    <bk>
      <extLst>
        <ext uri="{3e2802c4-a4d2-4d8b-9148-e3be6c30e623}">
          <xlrd:rvb i="228"/>
        </ext>
      </extLst>
    </bk>
    <bk>
      <extLst>
        <ext uri="{3e2802c4-a4d2-4d8b-9148-e3be6c30e623}">
          <xlrd:rvb i="231"/>
        </ext>
      </extLst>
    </bk>
    <bk>
      <extLst>
        <ext uri="{3e2802c4-a4d2-4d8b-9148-e3be6c30e623}">
          <xlrd:rvb i="234"/>
        </ext>
      </extLst>
    </bk>
    <bk>
      <extLst>
        <ext uri="{3e2802c4-a4d2-4d8b-9148-e3be6c30e623}">
          <xlrd:rvb i="237"/>
        </ext>
      </extLst>
    </bk>
    <bk>
      <extLst>
        <ext uri="{3e2802c4-a4d2-4d8b-9148-e3be6c30e623}">
          <xlrd:rvb i="240"/>
        </ext>
      </extLst>
    </bk>
    <bk>
      <extLst>
        <ext uri="{3e2802c4-a4d2-4d8b-9148-e3be6c30e623}">
          <xlrd:rvb i="243"/>
        </ext>
      </extLst>
    </bk>
    <bk>
      <extLst>
        <ext uri="{3e2802c4-a4d2-4d8b-9148-e3be6c30e623}">
          <xlrd:rvb i="246"/>
        </ext>
      </extLst>
    </bk>
    <bk>
      <extLst>
        <ext uri="{3e2802c4-a4d2-4d8b-9148-e3be6c30e623}">
          <xlrd:rvb i="249"/>
        </ext>
      </extLst>
    </bk>
    <bk>
      <extLst>
        <ext uri="{3e2802c4-a4d2-4d8b-9148-e3be6c30e623}">
          <xlrd:rvb i="252"/>
        </ext>
      </extLst>
    </bk>
    <bk>
      <extLst>
        <ext uri="{3e2802c4-a4d2-4d8b-9148-e3be6c30e623}">
          <xlrd:rvb i="255"/>
        </ext>
      </extLst>
    </bk>
    <bk>
      <extLst>
        <ext uri="{3e2802c4-a4d2-4d8b-9148-e3be6c30e623}">
          <xlrd:rvb i="258"/>
        </ext>
      </extLst>
    </bk>
    <bk>
      <extLst>
        <ext uri="{3e2802c4-a4d2-4d8b-9148-e3be6c30e623}">
          <xlrd:rvb i="261"/>
        </ext>
      </extLst>
    </bk>
    <bk>
      <extLst>
        <ext uri="{3e2802c4-a4d2-4d8b-9148-e3be6c30e623}">
          <xlrd:rvb i="264"/>
        </ext>
      </extLst>
    </bk>
    <bk>
      <extLst>
        <ext uri="{3e2802c4-a4d2-4d8b-9148-e3be6c30e623}">
          <xlrd:rvb i="267"/>
        </ext>
      </extLst>
    </bk>
    <bk>
      <extLst>
        <ext uri="{3e2802c4-a4d2-4d8b-9148-e3be6c30e623}">
          <xlrd:rvb i="270"/>
        </ext>
      </extLst>
    </bk>
    <bk>
      <extLst>
        <ext uri="{3e2802c4-a4d2-4d8b-9148-e3be6c30e623}">
          <xlrd:rvb i="273"/>
        </ext>
      </extLst>
    </bk>
    <bk>
      <extLst>
        <ext uri="{3e2802c4-a4d2-4d8b-9148-e3be6c30e623}">
          <xlrd:rvb i="276"/>
        </ext>
      </extLst>
    </bk>
    <bk>
      <extLst>
        <ext uri="{3e2802c4-a4d2-4d8b-9148-e3be6c30e623}">
          <xlrd:rvb i="279"/>
        </ext>
      </extLst>
    </bk>
    <bk>
      <extLst>
        <ext uri="{3e2802c4-a4d2-4d8b-9148-e3be6c30e623}">
          <xlrd:rvb i="282"/>
        </ext>
      </extLst>
    </bk>
    <bk>
      <extLst>
        <ext uri="{3e2802c4-a4d2-4d8b-9148-e3be6c30e623}">
          <xlrd:rvb i="285"/>
        </ext>
      </extLst>
    </bk>
    <bk>
      <extLst>
        <ext uri="{3e2802c4-a4d2-4d8b-9148-e3be6c30e623}">
          <xlrd:rvb i="288"/>
        </ext>
      </extLst>
    </bk>
    <bk>
      <extLst>
        <ext uri="{3e2802c4-a4d2-4d8b-9148-e3be6c30e623}">
          <xlrd:rvb i="291"/>
        </ext>
      </extLst>
    </bk>
    <bk>
      <extLst>
        <ext uri="{3e2802c4-a4d2-4d8b-9148-e3be6c30e623}">
          <xlrd:rvb i="294"/>
        </ext>
      </extLst>
    </bk>
    <bk>
      <extLst>
        <ext uri="{3e2802c4-a4d2-4d8b-9148-e3be6c30e623}">
          <xlrd:rvb i="297"/>
        </ext>
      </extLst>
    </bk>
    <bk>
      <extLst>
        <ext uri="{3e2802c4-a4d2-4d8b-9148-e3be6c30e623}">
          <xlrd:rvb i="300"/>
        </ext>
      </extLst>
    </bk>
    <bk>
      <extLst>
        <ext uri="{3e2802c4-a4d2-4d8b-9148-e3be6c30e623}">
          <xlrd:rvb i="303"/>
        </ext>
      </extLst>
    </bk>
    <bk>
      <extLst>
        <ext uri="{3e2802c4-a4d2-4d8b-9148-e3be6c30e623}">
          <xlrd:rvb i="306"/>
        </ext>
      </extLst>
    </bk>
    <bk>
      <extLst>
        <ext uri="{3e2802c4-a4d2-4d8b-9148-e3be6c30e623}">
          <xlrd:rvb i="309"/>
        </ext>
      </extLst>
    </bk>
    <bk>
      <extLst>
        <ext uri="{3e2802c4-a4d2-4d8b-9148-e3be6c30e623}">
          <xlrd:rvb i="312"/>
        </ext>
      </extLst>
    </bk>
    <bk>
      <extLst>
        <ext uri="{3e2802c4-a4d2-4d8b-9148-e3be6c30e623}">
          <xlrd:rvb i="315"/>
        </ext>
      </extLst>
    </bk>
    <bk>
      <extLst>
        <ext uri="{3e2802c4-a4d2-4d8b-9148-e3be6c30e623}">
          <xlrd:rvb i="318"/>
        </ext>
      </extLst>
    </bk>
    <bk>
      <extLst>
        <ext uri="{3e2802c4-a4d2-4d8b-9148-e3be6c30e623}">
          <xlrd:rvb i="321"/>
        </ext>
      </extLst>
    </bk>
    <bk>
      <extLst>
        <ext uri="{3e2802c4-a4d2-4d8b-9148-e3be6c30e623}">
          <xlrd:rvb i="324"/>
        </ext>
      </extLst>
    </bk>
    <bk>
      <extLst>
        <ext uri="{3e2802c4-a4d2-4d8b-9148-e3be6c30e623}">
          <xlrd:rvb i="327"/>
        </ext>
      </extLst>
    </bk>
    <bk>
      <extLst>
        <ext uri="{3e2802c4-a4d2-4d8b-9148-e3be6c30e623}">
          <xlrd:rvb i="333"/>
        </ext>
      </extLst>
    </bk>
    <bk>
      <extLst>
        <ext uri="{3e2802c4-a4d2-4d8b-9148-e3be6c30e623}">
          <xlrd:rvb i="336"/>
        </ext>
      </extLst>
    </bk>
    <bk>
      <extLst>
        <ext uri="{3e2802c4-a4d2-4d8b-9148-e3be6c30e623}">
          <xlrd:rvb i="339"/>
        </ext>
      </extLst>
    </bk>
    <bk>
      <extLst>
        <ext uri="{3e2802c4-a4d2-4d8b-9148-e3be6c30e623}">
          <xlrd:rvb i="342"/>
        </ext>
      </extLst>
    </bk>
    <bk>
      <extLst>
        <ext uri="{3e2802c4-a4d2-4d8b-9148-e3be6c30e623}">
          <xlrd:rvb i="345"/>
        </ext>
      </extLst>
    </bk>
    <bk>
      <extLst>
        <ext uri="{3e2802c4-a4d2-4d8b-9148-e3be6c30e623}">
          <xlrd:rvb i="348"/>
        </ext>
      </extLst>
    </bk>
    <bk>
      <extLst>
        <ext uri="{3e2802c4-a4d2-4d8b-9148-e3be6c30e623}">
          <xlrd:rvb i="351"/>
        </ext>
      </extLst>
    </bk>
    <bk>
      <extLst>
        <ext uri="{3e2802c4-a4d2-4d8b-9148-e3be6c30e623}">
          <xlrd:rvb i="354"/>
        </ext>
      </extLst>
    </bk>
    <bk>
      <extLst>
        <ext uri="{3e2802c4-a4d2-4d8b-9148-e3be6c30e623}">
          <xlrd:rvb i="357"/>
        </ext>
      </extLst>
    </bk>
    <bk>
      <extLst>
        <ext uri="{3e2802c4-a4d2-4d8b-9148-e3be6c30e623}">
          <xlrd:rvb i="360"/>
        </ext>
      </extLst>
    </bk>
    <bk>
      <extLst>
        <ext uri="{3e2802c4-a4d2-4d8b-9148-e3be6c30e623}">
          <xlrd:rvb i="363"/>
        </ext>
      </extLst>
    </bk>
    <bk>
      <extLst>
        <ext uri="{3e2802c4-a4d2-4d8b-9148-e3be6c30e623}">
          <xlrd:rvb i="366"/>
        </ext>
      </extLst>
    </bk>
    <bk>
      <extLst>
        <ext uri="{3e2802c4-a4d2-4d8b-9148-e3be6c30e623}">
          <xlrd:rvb i="369"/>
        </ext>
      </extLst>
    </bk>
    <bk>
      <extLst>
        <ext uri="{3e2802c4-a4d2-4d8b-9148-e3be6c30e623}">
          <xlrd:rvb i="372"/>
        </ext>
      </extLst>
    </bk>
    <bk>
      <extLst>
        <ext uri="{3e2802c4-a4d2-4d8b-9148-e3be6c30e623}">
          <xlrd:rvb i="379"/>
        </ext>
      </extLst>
    </bk>
    <bk>
      <extLst>
        <ext uri="{3e2802c4-a4d2-4d8b-9148-e3be6c30e623}">
          <xlrd:rvb i="382"/>
        </ext>
      </extLst>
    </bk>
    <bk>
      <extLst>
        <ext uri="{3e2802c4-a4d2-4d8b-9148-e3be6c30e623}">
          <xlrd:rvb i="385"/>
        </ext>
      </extLst>
    </bk>
    <bk>
      <extLst>
        <ext uri="{3e2802c4-a4d2-4d8b-9148-e3be6c30e623}">
          <xlrd:rvb i="388"/>
        </ext>
      </extLst>
    </bk>
    <bk>
      <extLst>
        <ext uri="{3e2802c4-a4d2-4d8b-9148-e3be6c30e623}">
          <xlrd:rvb i="391"/>
        </ext>
      </extLst>
    </bk>
    <bk>
      <extLst>
        <ext uri="{3e2802c4-a4d2-4d8b-9148-e3be6c30e623}">
          <xlrd:rvb i="394"/>
        </ext>
      </extLst>
    </bk>
    <bk>
      <extLst>
        <ext uri="{3e2802c4-a4d2-4d8b-9148-e3be6c30e623}">
          <xlrd:rvb i="397"/>
        </ext>
      </extLst>
    </bk>
    <bk>
      <extLst>
        <ext uri="{3e2802c4-a4d2-4d8b-9148-e3be6c30e623}">
          <xlrd:rvb i="400"/>
        </ext>
      </extLst>
    </bk>
    <bk>
      <extLst>
        <ext uri="{3e2802c4-a4d2-4d8b-9148-e3be6c30e623}">
          <xlrd:rvb i="403"/>
        </ext>
      </extLst>
    </bk>
    <bk>
      <extLst>
        <ext uri="{3e2802c4-a4d2-4d8b-9148-e3be6c30e623}">
          <xlrd:rvb i="406"/>
        </ext>
      </extLst>
    </bk>
    <bk>
      <extLst>
        <ext uri="{3e2802c4-a4d2-4d8b-9148-e3be6c30e623}">
          <xlrd:rvb i="409"/>
        </ext>
      </extLst>
    </bk>
    <bk>
      <extLst>
        <ext uri="{3e2802c4-a4d2-4d8b-9148-e3be6c30e623}">
          <xlrd:rvb i="412"/>
        </ext>
      </extLst>
    </bk>
    <bk>
      <extLst>
        <ext uri="{3e2802c4-a4d2-4d8b-9148-e3be6c30e623}">
          <xlrd:rvb i="415"/>
        </ext>
      </extLst>
    </bk>
    <bk>
      <extLst>
        <ext uri="{3e2802c4-a4d2-4d8b-9148-e3be6c30e623}">
          <xlrd:rvb i="418"/>
        </ext>
      </extLst>
    </bk>
    <bk>
      <extLst>
        <ext uri="{3e2802c4-a4d2-4d8b-9148-e3be6c30e623}">
          <xlrd:rvb i="421"/>
        </ext>
      </extLst>
    </bk>
    <bk>
      <extLst>
        <ext uri="{3e2802c4-a4d2-4d8b-9148-e3be6c30e623}">
          <xlrd:rvb i="424"/>
        </ext>
      </extLst>
    </bk>
    <bk>
      <extLst>
        <ext uri="{3e2802c4-a4d2-4d8b-9148-e3be6c30e623}">
          <xlrd:rvb i="427"/>
        </ext>
      </extLst>
    </bk>
    <bk>
      <extLst>
        <ext uri="{3e2802c4-a4d2-4d8b-9148-e3be6c30e623}">
          <xlrd:rvb i="430"/>
        </ext>
      </extLst>
    </bk>
    <bk>
      <extLst>
        <ext uri="{3e2802c4-a4d2-4d8b-9148-e3be6c30e623}">
          <xlrd:rvb i="433"/>
        </ext>
      </extLst>
    </bk>
    <bk>
      <extLst>
        <ext uri="{3e2802c4-a4d2-4d8b-9148-e3be6c30e623}">
          <xlrd:rvb i="436"/>
        </ext>
      </extLst>
    </bk>
    <bk>
      <extLst>
        <ext uri="{3e2802c4-a4d2-4d8b-9148-e3be6c30e623}">
          <xlrd:rvb i="439"/>
        </ext>
      </extLst>
    </bk>
    <bk>
      <extLst>
        <ext uri="{3e2802c4-a4d2-4d8b-9148-e3be6c30e623}">
          <xlrd:rvb i="442"/>
        </ext>
      </extLst>
    </bk>
    <bk>
      <extLst>
        <ext uri="{3e2802c4-a4d2-4d8b-9148-e3be6c30e623}">
          <xlrd:rvb i="445"/>
        </ext>
      </extLst>
    </bk>
    <bk>
      <extLst>
        <ext uri="{3e2802c4-a4d2-4d8b-9148-e3be6c30e623}">
          <xlrd:rvb i="448"/>
        </ext>
      </extLst>
    </bk>
    <bk>
      <extLst>
        <ext uri="{3e2802c4-a4d2-4d8b-9148-e3be6c30e623}">
          <xlrd:rvb i="451"/>
        </ext>
      </extLst>
    </bk>
    <bk>
      <extLst>
        <ext uri="{3e2802c4-a4d2-4d8b-9148-e3be6c30e623}">
          <xlrd:rvb i="454"/>
        </ext>
      </extLst>
    </bk>
    <bk>
      <extLst>
        <ext uri="{3e2802c4-a4d2-4d8b-9148-e3be6c30e623}">
          <xlrd:rvb i="457"/>
        </ext>
      </extLst>
    </bk>
    <bk>
      <extLst>
        <ext uri="{3e2802c4-a4d2-4d8b-9148-e3be6c30e623}">
          <xlrd:rvb i="460"/>
        </ext>
      </extLst>
    </bk>
    <bk>
      <extLst>
        <ext uri="{3e2802c4-a4d2-4d8b-9148-e3be6c30e623}">
          <xlrd:rvb i="463"/>
        </ext>
      </extLst>
    </bk>
    <bk>
      <extLst>
        <ext uri="{3e2802c4-a4d2-4d8b-9148-e3be6c30e623}">
          <xlrd:rvb i="466"/>
        </ext>
      </extLst>
    </bk>
    <bk>
      <extLst>
        <ext uri="{3e2802c4-a4d2-4d8b-9148-e3be6c30e623}">
          <xlrd:rvb i="469"/>
        </ext>
      </extLst>
    </bk>
    <bk>
      <extLst>
        <ext uri="{3e2802c4-a4d2-4d8b-9148-e3be6c30e623}">
          <xlrd:rvb i="472"/>
        </ext>
      </extLst>
    </bk>
    <bk>
      <extLst>
        <ext uri="{3e2802c4-a4d2-4d8b-9148-e3be6c30e623}">
          <xlrd:rvb i="475"/>
        </ext>
      </extLst>
    </bk>
    <bk>
      <extLst>
        <ext uri="{3e2802c4-a4d2-4d8b-9148-e3be6c30e623}">
          <xlrd:rvb i="478"/>
        </ext>
      </extLst>
    </bk>
    <bk>
      <extLst>
        <ext uri="{3e2802c4-a4d2-4d8b-9148-e3be6c30e623}">
          <xlrd:rvb i="481"/>
        </ext>
      </extLst>
    </bk>
    <bk>
      <extLst>
        <ext uri="{3e2802c4-a4d2-4d8b-9148-e3be6c30e623}">
          <xlrd:rvb i="484"/>
        </ext>
      </extLst>
    </bk>
    <bk>
      <extLst>
        <ext uri="{3e2802c4-a4d2-4d8b-9148-e3be6c30e623}">
          <xlrd:rvb i="487"/>
        </ext>
      </extLst>
    </bk>
    <bk>
      <extLst>
        <ext uri="{3e2802c4-a4d2-4d8b-9148-e3be6c30e623}">
          <xlrd:rvb i="490"/>
        </ext>
      </extLst>
    </bk>
    <bk>
      <extLst>
        <ext uri="{3e2802c4-a4d2-4d8b-9148-e3be6c30e623}">
          <xlrd:rvb i="496"/>
        </ext>
      </extLst>
    </bk>
    <bk>
      <extLst>
        <ext uri="{3e2802c4-a4d2-4d8b-9148-e3be6c30e623}">
          <xlrd:rvb i="499"/>
        </ext>
      </extLst>
    </bk>
    <bk>
      <extLst>
        <ext uri="{3e2802c4-a4d2-4d8b-9148-e3be6c30e623}">
          <xlrd:rvb i="502"/>
        </ext>
      </extLst>
    </bk>
    <bk>
      <extLst>
        <ext uri="{3e2802c4-a4d2-4d8b-9148-e3be6c30e623}">
          <xlrd:rvb i="505"/>
        </ext>
      </extLst>
    </bk>
    <bk>
      <extLst>
        <ext uri="{3e2802c4-a4d2-4d8b-9148-e3be6c30e623}">
          <xlrd:rvb i="508"/>
        </ext>
      </extLst>
    </bk>
    <bk>
      <extLst>
        <ext uri="{3e2802c4-a4d2-4d8b-9148-e3be6c30e623}">
          <xlrd:rvb i="511"/>
        </ext>
      </extLst>
    </bk>
    <bk>
      <extLst>
        <ext uri="{3e2802c4-a4d2-4d8b-9148-e3be6c30e623}">
          <xlrd:rvb i="514"/>
        </ext>
      </extLst>
    </bk>
    <bk>
      <extLst>
        <ext uri="{3e2802c4-a4d2-4d8b-9148-e3be6c30e623}">
          <xlrd:rvb i="517"/>
        </ext>
      </extLst>
    </bk>
    <bk>
      <extLst>
        <ext uri="{3e2802c4-a4d2-4d8b-9148-e3be6c30e623}">
          <xlrd:rvb i="520"/>
        </ext>
      </extLst>
    </bk>
    <bk>
      <extLst>
        <ext uri="{3e2802c4-a4d2-4d8b-9148-e3be6c30e623}">
          <xlrd:rvb i="523"/>
        </ext>
      </extLst>
    </bk>
    <bk>
      <extLst>
        <ext uri="{3e2802c4-a4d2-4d8b-9148-e3be6c30e623}">
          <xlrd:rvb i="526"/>
        </ext>
      </extLst>
    </bk>
    <bk>
      <extLst>
        <ext uri="{3e2802c4-a4d2-4d8b-9148-e3be6c30e623}">
          <xlrd:rvb i="529"/>
        </ext>
      </extLst>
    </bk>
    <bk>
      <extLst>
        <ext uri="{3e2802c4-a4d2-4d8b-9148-e3be6c30e623}">
          <xlrd:rvb i="532"/>
        </ext>
      </extLst>
    </bk>
    <bk>
      <extLst>
        <ext uri="{3e2802c4-a4d2-4d8b-9148-e3be6c30e623}">
          <xlrd:rvb i="535"/>
        </ext>
      </extLst>
    </bk>
    <bk>
      <extLst>
        <ext uri="{3e2802c4-a4d2-4d8b-9148-e3be6c30e623}">
          <xlrd:rvb i="538"/>
        </ext>
      </extLst>
    </bk>
    <bk>
      <extLst>
        <ext uri="{3e2802c4-a4d2-4d8b-9148-e3be6c30e623}">
          <xlrd:rvb i="541"/>
        </ext>
      </extLst>
    </bk>
    <bk>
      <extLst>
        <ext uri="{3e2802c4-a4d2-4d8b-9148-e3be6c30e623}">
          <xlrd:rvb i="544"/>
        </ext>
      </extLst>
    </bk>
    <bk>
      <extLst>
        <ext uri="{3e2802c4-a4d2-4d8b-9148-e3be6c30e623}">
          <xlrd:rvb i="547"/>
        </ext>
      </extLst>
    </bk>
    <bk>
      <extLst>
        <ext uri="{3e2802c4-a4d2-4d8b-9148-e3be6c30e623}">
          <xlrd:rvb i="550"/>
        </ext>
      </extLst>
    </bk>
    <bk>
      <extLst>
        <ext uri="{3e2802c4-a4d2-4d8b-9148-e3be6c30e623}">
          <xlrd:rvb i="553"/>
        </ext>
      </extLst>
    </bk>
    <bk>
      <extLst>
        <ext uri="{3e2802c4-a4d2-4d8b-9148-e3be6c30e623}">
          <xlrd:rvb i="556"/>
        </ext>
      </extLst>
    </bk>
    <bk>
      <extLst>
        <ext uri="{3e2802c4-a4d2-4d8b-9148-e3be6c30e623}">
          <xlrd:rvb i="559"/>
        </ext>
      </extLst>
    </bk>
    <bk>
      <extLst>
        <ext uri="{3e2802c4-a4d2-4d8b-9148-e3be6c30e623}">
          <xlrd:rvb i="562"/>
        </ext>
      </extLst>
    </bk>
    <bk>
      <extLst>
        <ext uri="{3e2802c4-a4d2-4d8b-9148-e3be6c30e623}">
          <xlrd:rvb i="565"/>
        </ext>
      </extLst>
    </bk>
    <bk>
      <extLst>
        <ext uri="{3e2802c4-a4d2-4d8b-9148-e3be6c30e623}">
          <xlrd:rvb i="568"/>
        </ext>
      </extLst>
    </bk>
    <bk>
      <extLst>
        <ext uri="{3e2802c4-a4d2-4d8b-9148-e3be6c30e623}">
          <xlrd:rvb i="571"/>
        </ext>
      </extLst>
    </bk>
    <bk>
      <extLst>
        <ext uri="{3e2802c4-a4d2-4d8b-9148-e3be6c30e623}">
          <xlrd:rvb i="574"/>
        </ext>
      </extLst>
    </bk>
    <bk>
      <extLst>
        <ext uri="{3e2802c4-a4d2-4d8b-9148-e3be6c30e623}">
          <xlrd:rvb i="577"/>
        </ext>
      </extLst>
    </bk>
    <bk>
      <extLst>
        <ext uri="{3e2802c4-a4d2-4d8b-9148-e3be6c30e623}">
          <xlrd:rvb i="580"/>
        </ext>
      </extLst>
    </bk>
    <bk>
      <extLst>
        <ext uri="{3e2802c4-a4d2-4d8b-9148-e3be6c30e623}">
          <xlrd:rvb i="583"/>
        </ext>
      </extLst>
    </bk>
    <bk>
      <extLst>
        <ext uri="{3e2802c4-a4d2-4d8b-9148-e3be6c30e623}">
          <xlrd:rvb i="586"/>
        </ext>
      </extLst>
    </bk>
    <bk>
      <extLst>
        <ext uri="{3e2802c4-a4d2-4d8b-9148-e3be6c30e623}">
          <xlrd:rvb i="589"/>
        </ext>
      </extLst>
    </bk>
    <bk>
      <extLst>
        <ext uri="{3e2802c4-a4d2-4d8b-9148-e3be6c30e623}">
          <xlrd:rvb i="592"/>
        </ext>
      </extLst>
    </bk>
    <bk>
      <extLst>
        <ext uri="{3e2802c4-a4d2-4d8b-9148-e3be6c30e623}">
          <xlrd:rvb i="595"/>
        </ext>
      </extLst>
    </bk>
    <bk>
      <extLst>
        <ext uri="{3e2802c4-a4d2-4d8b-9148-e3be6c30e623}">
          <xlrd:rvb i="598"/>
        </ext>
      </extLst>
    </bk>
    <bk>
      <extLst>
        <ext uri="{3e2802c4-a4d2-4d8b-9148-e3be6c30e623}">
          <xlrd:rvb i="601"/>
        </ext>
      </extLst>
    </bk>
    <bk>
      <extLst>
        <ext uri="{3e2802c4-a4d2-4d8b-9148-e3be6c30e623}">
          <xlrd:rvb i="604"/>
        </ext>
      </extLst>
    </bk>
    <bk>
      <extLst>
        <ext uri="{3e2802c4-a4d2-4d8b-9148-e3be6c30e623}">
          <xlrd:rvb i="607"/>
        </ext>
      </extLst>
    </bk>
    <bk>
      <extLst>
        <ext uri="{3e2802c4-a4d2-4d8b-9148-e3be6c30e623}">
          <xlrd:rvb i="610"/>
        </ext>
      </extLst>
    </bk>
    <bk>
      <extLst>
        <ext uri="{3e2802c4-a4d2-4d8b-9148-e3be6c30e623}">
          <xlrd:rvb i="613"/>
        </ext>
      </extLst>
    </bk>
    <bk>
      <extLst>
        <ext uri="{3e2802c4-a4d2-4d8b-9148-e3be6c30e623}">
          <xlrd:rvb i="616"/>
        </ext>
      </extLst>
    </bk>
    <bk>
      <extLst>
        <ext uri="{3e2802c4-a4d2-4d8b-9148-e3be6c30e623}">
          <xlrd:rvb i="619"/>
        </ext>
      </extLst>
    </bk>
    <bk>
      <extLst>
        <ext uri="{3e2802c4-a4d2-4d8b-9148-e3be6c30e623}">
          <xlrd:rvb i="622"/>
        </ext>
      </extLst>
    </bk>
    <bk>
      <extLst>
        <ext uri="{3e2802c4-a4d2-4d8b-9148-e3be6c30e623}">
          <xlrd:rvb i="625"/>
        </ext>
      </extLst>
    </bk>
    <bk>
      <extLst>
        <ext uri="{3e2802c4-a4d2-4d8b-9148-e3be6c30e623}">
          <xlrd:rvb i="628"/>
        </ext>
      </extLst>
    </bk>
    <bk>
      <extLst>
        <ext uri="{3e2802c4-a4d2-4d8b-9148-e3be6c30e623}">
          <xlrd:rvb i="631"/>
        </ext>
      </extLst>
    </bk>
    <bk>
      <extLst>
        <ext uri="{3e2802c4-a4d2-4d8b-9148-e3be6c30e623}">
          <xlrd:rvb i="634"/>
        </ext>
      </extLst>
    </bk>
    <bk>
      <extLst>
        <ext uri="{3e2802c4-a4d2-4d8b-9148-e3be6c30e623}">
          <xlrd:rvb i="640"/>
        </ext>
      </extLst>
    </bk>
    <bk>
      <extLst>
        <ext uri="{3e2802c4-a4d2-4d8b-9148-e3be6c30e623}">
          <xlrd:rvb i="643"/>
        </ext>
      </extLst>
    </bk>
    <bk>
      <extLst>
        <ext uri="{3e2802c4-a4d2-4d8b-9148-e3be6c30e623}">
          <xlrd:rvb i="646"/>
        </ext>
      </extLst>
    </bk>
    <bk>
      <extLst>
        <ext uri="{3e2802c4-a4d2-4d8b-9148-e3be6c30e623}">
          <xlrd:rvb i="649"/>
        </ext>
      </extLst>
    </bk>
    <bk>
      <extLst>
        <ext uri="{3e2802c4-a4d2-4d8b-9148-e3be6c30e623}">
          <xlrd:rvb i="652"/>
        </ext>
      </extLst>
    </bk>
    <bk>
      <extLst>
        <ext uri="{3e2802c4-a4d2-4d8b-9148-e3be6c30e623}">
          <xlrd:rvb i="655"/>
        </ext>
      </extLst>
    </bk>
    <bk>
      <extLst>
        <ext uri="{3e2802c4-a4d2-4d8b-9148-e3be6c30e623}">
          <xlrd:rvb i="658"/>
        </ext>
      </extLst>
    </bk>
    <bk>
      <extLst>
        <ext uri="{3e2802c4-a4d2-4d8b-9148-e3be6c30e623}">
          <xlrd:rvb i="661"/>
        </ext>
      </extLst>
    </bk>
    <bk>
      <extLst>
        <ext uri="{3e2802c4-a4d2-4d8b-9148-e3be6c30e623}">
          <xlrd:rvb i="664"/>
        </ext>
      </extLst>
    </bk>
    <bk>
      <extLst>
        <ext uri="{3e2802c4-a4d2-4d8b-9148-e3be6c30e623}">
          <xlrd:rvb i="667"/>
        </ext>
      </extLst>
    </bk>
    <bk>
      <extLst>
        <ext uri="{3e2802c4-a4d2-4d8b-9148-e3be6c30e623}">
          <xlrd:rvb i="670"/>
        </ext>
      </extLst>
    </bk>
    <bk>
      <extLst>
        <ext uri="{3e2802c4-a4d2-4d8b-9148-e3be6c30e623}">
          <xlrd:rvb i="673"/>
        </ext>
      </extLst>
    </bk>
    <bk>
      <extLst>
        <ext uri="{3e2802c4-a4d2-4d8b-9148-e3be6c30e623}">
          <xlrd:rvb i="676"/>
        </ext>
      </extLst>
    </bk>
    <bk>
      <extLst>
        <ext uri="{3e2802c4-a4d2-4d8b-9148-e3be6c30e623}">
          <xlrd:rvb i="679"/>
        </ext>
      </extLst>
    </bk>
    <bk>
      <extLst>
        <ext uri="{3e2802c4-a4d2-4d8b-9148-e3be6c30e623}">
          <xlrd:rvb i="682"/>
        </ext>
      </extLst>
    </bk>
    <bk>
      <extLst>
        <ext uri="{3e2802c4-a4d2-4d8b-9148-e3be6c30e623}">
          <xlrd:rvb i="685"/>
        </ext>
      </extLst>
    </bk>
    <bk>
      <extLst>
        <ext uri="{3e2802c4-a4d2-4d8b-9148-e3be6c30e623}">
          <xlrd:rvb i="688"/>
        </ext>
      </extLst>
    </bk>
    <bk>
      <extLst>
        <ext uri="{3e2802c4-a4d2-4d8b-9148-e3be6c30e623}">
          <xlrd:rvb i="691"/>
        </ext>
      </extLst>
    </bk>
    <bk>
      <extLst>
        <ext uri="{3e2802c4-a4d2-4d8b-9148-e3be6c30e623}">
          <xlrd:rvb i="694"/>
        </ext>
      </extLst>
    </bk>
    <bk>
      <extLst>
        <ext uri="{3e2802c4-a4d2-4d8b-9148-e3be6c30e623}">
          <xlrd:rvb i="697"/>
        </ext>
      </extLst>
    </bk>
    <bk>
      <extLst>
        <ext uri="{3e2802c4-a4d2-4d8b-9148-e3be6c30e623}">
          <xlrd:rvb i="700"/>
        </ext>
      </extLst>
    </bk>
    <bk>
      <extLst>
        <ext uri="{3e2802c4-a4d2-4d8b-9148-e3be6c30e623}">
          <xlrd:rvb i="703"/>
        </ext>
      </extLst>
    </bk>
    <bk>
      <extLst>
        <ext uri="{3e2802c4-a4d2-4d8b-9148-e3be6c30e623}">
          <xlrd:rvb i="706"/>
        </ext>
      </extLst>
    </bk>
    <bk>
      <extLst>
        <ext uri="{3e2802c4-a4d2-4d8b-9148-e3be6c30e623}">
          <xlrd:rvb i="709"/>
        </ext>
      </extLst>
    </bk>
    <bk>
      <extLst>
        <ext uri="{3e2802c4-a4d2-4d8b-9148-e3be6c30e623}">
          <xlrd:rvb i="712"/>
        </ext>
      </extLst>
    </bk>
    <bk>
      <extLst>
        <ext uri="{3e2802c4-a4d2-4d8b-9148-e3be6c30e623}">
          <xlrd:rvb i="715"/>
        </ext>
      </extLst>
    </bk>
    <bk>
      <extLst>
        <ext uri="{3e2802c4-a4d2-4d8b-9148-e3be6c30e623}">
          <xlrd:rvb i="718"/>
        </ext>
      </extLst>
    </bk>
    <bk>
      <extLst>
        <ext uri="{3e2802c4-a4d2-4d8b-9148-e3be6c30e623}">
          <xlrd:rvb i="721"/>
        </ext>
      </extLst>
    </bk>
    <bk>
      <extLst>
        <ext uri="{3e2802c4-a4d2-4d8b-9148-e3be6c30e623}">
          <xlrd:rvb i="724"/>
        </ext>
      </extLst>
    </bk>
    <bk>
      <extLst>
        <ext uri="{3e2802c4-a4d2-4d8b-9148-e3be6c30e623}">
          <xlrd:rvb i="727"/>
        </ext>
      </extLst>
    </bk>
    <bk>
      <extLst>
        <ext uri="{3e2802c4-a4d2-4d8b-9148-e3be6c30e623}">
          <xlrd:rvb i="730"/>
        </ext>
      </extLst>
    </bk>
    <bk>
      <extLst>
        <ext uri="{3e2802c4-a4d2-4d8b-9148-e3be6c30e623}">
          <xlrd:rvb i="733"/>
        </ext>
      </extLst>
    </bk>
    <bk>
      <extLst>
        <ext uri="{3e2802c4-a4d2-4d8b-9148-e3be6c30e623}">
          <xlrd:rvb i="736"/>
        </ext>
      </extLst>
    </bk>
    <bk>
      <extLst>
        <ext uri="{3e2802c4-a4d2-4d8b-9148-e3be6c30e623}">
          <xlrd:rvb i="739"/>
        </ext>
      </extLst>
    </bk>
    <bk>
      <extLst>
        <ext uri="{3e2802c4-a4d2-4d8b-9148-e3be6c30e623}">
          <xlrd:rvb i="742"/>
        </ext>
      </extLst>
    </bk>
    <bk>
      <extLst>
        <ext uri="{3e2802c4-a4d2-4d8b-9148-e3be6c30e623}">
          <xlrd:rvb i="745"/>
        </ext>
      </extLst>
    </bk>
    <bk>
      <extLst>
        <ext uri="{3e2802c4-a4d2-4d8b-9148-e3be6c30e623}">
          <xlrd:rvb i="748"/>
        </ext>
      </extLst>
    </bk>
    <bk>
      <extLst>
        <ext uri="{3e2802c4-a4d2-4d8b-9148-e3be6c30e623}">
          <xlrd:rvb i="751"/>
        </ext>
      </extLst>
    </bk>
    <bk>
      <extLst>
        <ext uri="{3e2802c4-a4d2-4d8b-9148-e3be6c30e623}">
          <xlrd:rvb i="754"/>
        </ext>
      </extLst>
    </bk>
    <bk>
      <extLst>
        <ext uri="{3e2802c4-a4d2-4d8b-9148-e3be6c30e623}">
          <xlrd:rvb i="757"/>
        </ext>
      </extLst>
    </bk>
    <bk>
      <extLst>
        <ext uri="{3e2802c4-a4d2-4d8b-9148-e3be6c30e623}">
          <xlrd:rvb i="760"/>
        </ext>
      </extLst>
    </bk>
    <bk>
      <extLst>
        <ext uri="{3e2802c4-a4d2-4d8b-9148-e3be6c30e623}">
          <xlrd:rvb i="763"/>
        </ext>
      </extLst>
    </bk>
    <bk>
      <extLst>
        <ext uri="{3e2802c4-a4d2-4d8b-9148-e3be6c30e623}">
          <xlrd:rvb i="766"/>
        </ext>
      </extLst>
    </bk>
    <bk>
      <extLst>
        <ext uri="{3e2802c4-a4d2-4d8b-9148-e3be6c30e623}">
          <xlrd:rvb i="769"/>
        </ext>
      </extLst>
    </bk>
    <bk>
      <extLst>
        <ext uri="{3e2802c4-a4d2-4d8b-9148-e3be6c30e623}">
          <xlrd:rvb i="772"/>
        </ext>
      </extLst>
    </bk>
    <bk>
      <extLst>
        <ext uri="{3e2802c4-a4d2-4d8b-9148-e3be6c30e623}">
          <xlrd:rvb i="775"/>
        </ext>
      </extLst>
    </bk>
    <bk>
      <extLst>
        <ext uri="{3e2802c4-a4d2-4d8b-9148-e3be6c30e623}">
          <xlrd:rvb i="778"/>
        </ext>
      </extLst>
    </bk>
    <bk>
      <extLst>
        <ext uri="{3e2802c4-a4d2-4d8b-9148-e3be6c30e623}">
          <xlrd:rvb i="781"/>
        </ext>
      </extLst>
    </bk>
    <bk>
      <extLst>
        <ext uri="{3e2802c4-a4d2-4d8b-9148-e3be6c30e623}">
          <xlrd:rvb i="784"/>
        </ext>
      </extLst>
    </bk>
    <bk>
      <extLst>
        <ext uri="{3e2802c4-a4d2-4d8b-9148-e3be6c30e623}">
          <xlrd:rvb i="787"/>
        </ext>
      </extLst>
    </bk>
    <bk>
      <extLst>
        <ext uri="{3e2802c4-a4d2-4d8b-9148-e3be6c30e623}">
          <xlrd:rvb i="790"/>
        </ext>
      </extLst>
    </bk>
    <bk>
      <extLst>
        <ext uri="{3e2802c4-a4d2-4d8b-9148-e3be6c30e623}">
          <xlrd:rvb i="793"/>
        </ext>
      </extLst>
    </bk>
    <bk>
      <extLst>
        <ext uri="{3e2802c4-a4d2-4d8b-9148-e3be6c30e623}">
          <xlrd:rvb i="796"/>
        </ext>
      </extLst>
    </bk>
    <bk>
      <extLst>
        <ext uri="{3e2802c4-a4d2-4d8b-9148-e3be6c30e623}">
          <xlrd:rvb i="799"/>
        </ext>
      </extLst>
    </bk>
    <bk>
      <extLst>
        <ext uri="{3e2802c4-a4d2-4d8b-9148-e3be6c30e623}">
          <xlrd:rvb i="802"/>
        </ext>
      </extLst>
    </bk>
    <bk>
      <extLst>
        <ext uri="{3e2802c4-a4d2-4d8b-9148-e3be6c30e623}">
          <xlrd:rvb i="805"/>
        </ext>
      </extLst>
    </bk>
    <bk>
      <extLst>
        <ext uri="{3e2802c4-a4d2-4d8b-9148-e3be6c30e623}">
          <xlrd:rvb i="808"/>
        </ext>
      </extLst>
    </bk>
    <bk>
      <extLst>
        <ext uri="{3e2802c4-a4d2-4d8b-9148-e3be6c30e623}">
          <xlrd:rvb i="811"/>
        </ext>
      </extLst>
    </bk>
    <bk>
      <extLst>
        <ext uri="{3e2802c4-a4d2-4d8b-9148-e3be6c30e623}">
          <xlrd:rvb i="814"/>
        </ext>
      </extLst>
    </bk>
    <bk>
      <extLst>
        <ext uri="{3e2802c4-a4d2-4d8b-9148-e3be6c30e623}">
          <xlrd:rvb i="817"/>
        </ext>
      </extLst>
    </bk>
    <bk>
      <extLst>
        <ext uri="{3e2802c4-a4d2-4d8b-9148-e3be6c30e623}">
          <xlrd:rvb i="820"/>
        </ext>
      </extLst>
    </bk>
    <bk>
      <extLst>
        <ext uri="{3e2802c4-a4d2-4d8b-9148-e3be6c30e623}">
          <xlrd:rvb i="823"/>
        </ext>
      </extLst>
    </bk>
    <bk>
      <extLst>
        <ext uri="{3e2802c4-a4d2-4d8b-9148-e3be6c30e623}">
          <xlrd:rvb i="826"/>
        </ext>
      </extLst>
    </bk>
    <bk>
      <extLst>
        <ext uri="{3e2802c4-a4d2-4d8b-9148-e3be6c30e623}">
          <xlrd:rvb i="829"/>
        </ext>
      </extLst>
    </bk>
    <bk>
      <extLst>
        <ext uri="{3e2802c4-a4d2-4d8b-9148-e3be6c30e623}">
          <xlrd:rvb i="832"/>
        </ext>
      </extLst>
    </bk>
    <bk>
      <extLst>
        <ext uri="{3e2802c4-a4d2-4d8b-9148-e3be6c30e623}">
          <xlrd:rvb i="835"/>
        </ext>
      </extLst>
    </bk>
    <bk>
      <extLst>
        <ext uri="{3e2802c4-a4d2-4d8b-9148-e3be6c30e623}">
          <xlrd:rvb i="841"/>
        </ext>
      </extLst>
    </bk>
    <bk>
      <extLst>
        <ext uri="{3e2802c4-a4d2-4d8b-9148-e3be6c30e623}">
          <xlrd:rvb i="844"/>
        </ext>
      </extLst>
    </bk>
    <bk>
      <extLst>
        <ext uri="{3e2802c4-a4d2-4d8b-9148-e3be6c30e623}">
          <xlrd:rvb i="847"/>
        </ext>
      </extLst>
    </bk>
    <bk>
      <extLst>
        <ext uri="{3e2802c4-a4d2-4d8b-9148-e3be6c30e623}">
          <xlrd:rvb i="853"/>
        </ext>
      </extLst>
    </bk>
    <bk>
      <extLst>
        <ext uri="{3e2802c4-a4d2-4d8b-9148-e3be6c30e623}">
          <xlrd:rvb i="856"/>
        </ext>
      </extLst>
    </bk>
    <bk>
      <extLst>
        <ext uri="{3e2802c4-a4d2-4d8b-9148-e3be6c30e623}">
          <xlrd:rvb i="859"/>
        </ext>
      </extLst>
    </bk>
    <bk>
      <extLst>
        <ext uri="{3e2802c4-a4d2-4d8b-9148-e3be6c30e623}">
          <xlrd:rvb i="862"/>
        </ext>
      </extLst>
    </bk>
    <bk>
      <extLst>
        <ext uri="{3e2802c4-a4d2-4d8b-9148-e3be6c30e623}">
          <xlrd:rvb i="865"/>
        </ext>
      </extLst>
    </bk>
    <bk>
      <extLst>
        <ext uri="{3e2802c4-a4d2-4d8b-9148-e3be6c30e623}">
          <xlrd:rvb i="868"/>
        </ext>
      </extLst>
    </bk>
    <bk>
      <extLst>
        <ext uri="{3e2802c4-a4d2-4d8b-9148-e3be6c30e623}">
          <xlrd:rvb i="871"/>
        </ext>
      </extLst>
    </bk>
    <bk>
      <extLst>
        <ext uri="{3e2802c4-a4d2-4d8b-9148-e3be6c30e623}">
          <xlrd:rvb i="874"/>
        </ext>
      </extLst>
    </bk>
    <bk>
      <extLst>
        <ext uri="{3e2802c4-a4d2-4d8b-9148-e3be6c30e623}">
          <xlrd:rvb i="877"/>
        </ext>
      </extLst>
    </bk>
    <bk>
      <extLst>
        <ext uri="{3e2802c4-a4d2-4d8b-9148-e3be6c30e623}">
          <xlrd:rvb i="880"/>
        </ext>
      </extLst>
    </bk>
    <bk>
      <extLst>
        <ext uri="{3e2802c4-a4d2-4d8b-9148-e3be6c30e623}">
          <xlrd:rvb i="886"/>
        </ext>
      </extLst>
    </bk>
    <bk>
      <extLst>
        <ext uri="{3e2802c4-a4d2-4d8b-9148-e3be6c30e623}">
          <xlrd:rvb i="889"/>
        </ext>
      </extLst>
    </bk>
    <bk>
      <extLst>
        <ext uri="{3e2802c4-a4d2-4d8b-9148-e3be6c30e623}">
          <xlrd:rvb i="892"/>
        </ext>
      </extLst>
    </bk>
    <bk>
      <extLst>
        <ext uri="{3e2802c4-a4d2-4d8b-9148-e3be6c30e623}">
          <xlrd:rvb i="895"/>
        </ext>
      </extLst>
    </bk>
    <bk>
      <extLst>
        <ext uri="{3e2802c4-a4d2-4d8b-9148-e3be6c30e623}">
          <xlrd:rvb i="898"/>
        </ext>
      </extLst>
    </bk>
    <bk>
      <extLst>
        <ext uri="{3e2802c4-a4d2-4d8b-9148-e3be6c30e623}">
          <xlrd:rvb i="901"/>
        </ext>
      </extLst>
    </bk>
    <bk>
      <extLst>
        <ext uri="{3e2802c4-a4d2-4d8b-9148-e3be6c30e623}">
          <xlrd:rvb i="904"/>
        </ext>
      </extLst>
    </bk>
    <bk>
      <extLst>
        <ext uri="{3e2802c4-a4d2-4d8b-9148-e3be6c30e623}">
          <xlrd:rvb i="907"/>
        </ext>
      </extLst>
    </bk>
    <bk>
      <extLst>
        <ext uri="{3e2802c4-a4d2-4d8b-9148-e3be6c30e623}">
          <xlrd:rvb i="910"/>
        </ext>
      </extLst>
    </bk>
    <bk>
      <extLst>
        <ext uri="{3e2802c4-a4d2-4d8b-9148-e3be6c30e623}">
          <xlrd:rvb i="913"/>
        </ext>
      </extLst>
    </bk>
    <bk>
      <extLst>
        <ext uri="{3e2802c4-a4d2-4d8b-9148-e3be6c30e623}">
          <xlrd:rvb i="919"/>
        </ext>
      </extLst>
    </bk>
    <bk>
      <extLst>
        <ext uri="{3e2802c4-a4d2-4d8b-9148-e3be6c30e623}">
          <xlrd:rvb i="922"/>
        </ext>
      </extLst>
    </bk>
    <bk>
      <extLst>
        <ext uri="{3e2802c4-a4d2-4d8b-9148-e3be6c30e623}">
          <xlrd:rvb i="925"/>
        </ext>
      </extLst>
    </bk>
    <bk>
      <extLst>
        <ext uri="{3e2802c4-a4d2-4d8b-9148-e3be6c30e623}">
          <xlrd:rvb i="928"/>
        </ext>
      </extLst>
    </bk>
    <bk>
      <extLst>
        <ext uri="{3e2802c4-a4d2-4d8b-9148-e3be6c30e623}">
          <xlrd:rvb i="931"/>
        </ext>
      </extLst>
    </bk>
    <bk>
      <extLst>
        <ext uri="{3e2802c4-a4d2-4d8b-9148-e3be6c30e623}">
          <xlrd:rvb i="934"/>
        </ext>
      </extLst>
    </bk>
    <bk>
      <extLst>
        <ext uri="{3e2802c4-a4d2-4d8b-9148-e3be6c30e623}">
          <xlrd:rvb i="937"/>
        </ext>
      </extLst>
    </bk>
    <bk>
      <extLst>
        <ext uri="{3e2802c4-a4d2-4d8b-9148-e3be6c30e623}">
          <xlrd:rvb i="940"/>
        </ext>
      </extLst>
    </bk>
    <bk>
      <extLst>
        <ext uri="{3e2802c4-a4d2-4d8b-9148-e3be6c30e623}">
          <xlrd:rvb i="943"/>
        </ext>
      </extLst>
    </bk>
    <bk>
      <extLst>
        <ext uri="{3e2802c4-a4d2-4d8b-9148-e3be6c30e623}">
          <xlrd:rvb i="946"/>
        </ext>
      </extLst>
    </bk>
    <bk>
      <extLst>
        <ext uri="{3e2802c4-a4d2-4d8b-9148-e3be6c30e623}">
          <xlrd:rvb i="949"/>
        </ext>
      </extLst>
    </bk>
    <bk>
      <extLst>
        <ext uri="{3e2802c4-a4d2-4d8b-9148-e3be6c30e623}">
          <xlrd:rvb i="952"/>
        </ext>
      </extLst>
    </bk>
    <bk>
      <extLst>
        <ext uri="{3e2802c4-a4d2-4d8b-9148-e3be6c30e623}">
          <xlrd:rvb i="958"/>
        </ext>
      </extLst>
    </bk>
    <bk>
      <extLst>
        <ext uri="{3e2802c4-a4d2-4d8b-9148-e3be6c30e623}">
          <xlrd:rvb i="961"/>
        </ext>
      </extLst>
    </bk>
    <bk>
      <extLst>
        <ext uri="{3e2802c4-a4d2-4d8b-9148-e3be6c30e623}">
          <xlrd:rvb i="964"/>
        </ext>
      </extLst>
    </bk>
    <bk>
      <extLst>
        <ext uri="{3e2802c4-a4d2-4d8b-9148-e3be6c30e623}">
          <xlrd:rvb i="967"/>
        </ext>
      </extLst>
    </bk>
    <bk>
      <extLst>
        <ext uri="{3e2802c4-a4d2-4d8b-9148-e3be6c30e623}">
          <xlrd:rvb i="970"/>
        </ext>
      </extLst>
    </bk>
    <bk>
      <extLst>
        <ext uri="{3e2802c4-a4d2-4d8b-9148-e3be6c30e623}">
          <xlrd:rvb i="973"/>
        </ext>
      </extLst>
    </bk>
    <bk>
      <extLst>
        <ext uri="{3e2802c4-a4d2-4d8b-9148-e3be6c30e623}">
          <xlrd:rvb i="979"/>
        </ext>
      </extLst>
    </bk>
    <bk>
      <extLst>
        <ext uri="{3e2802c4-a4d2-4d8b-9148-e3be6c30e623}">
          <xlrd:rvb i="985"/>
        </ext>
      </extLst>
    </bk>
    <bk>
      <extLst>
        <ext uri="{3e2802c4-a4d2-4d8b-9148-e3be6c30e623}">
          <xlrd:rvb i="988"/>
        </ext>
      </extLst>
    </bk>
    <bk>
      <extLst>
        <ext uri="{3e2802c4-a4d2-4d8b-9148-e3be6c30e623}">
          <xlrd:rvb i="991"/>
        </ext>
      </extLst>
    </bk>
    <bk>
      <extLst>
        <ext uri="{3e2802c4-a4d2-4d8b-9148-e3be6c30e623}">
          <xlrd:rvb i="994"/>
        </ext>
      </extLst>
    </bk>
    <bk>
      <extLst>
        <ext uri="{3e2802c4-a4d2-4d8b-9148-e3be6c30e623}">
          <xlrd:rvb i="997"/>
        </ext>
      </extLst>
    </bk>
    <bk>
      <extLst>
        <ext uri="{3e2802c4-a4d2-4d8b-9148-e3be6c30e623}">
          <xlrd:rvb i="1000"/>
        </ext>
      </extLst>
    </bk>
    <bk>
      <extLst>
        <ext uri="{3e2802c4-a4d2-4d8b-9148-e3be6c30e623}">
          <xlrd:rvb i="1003"/>
        </ext>
      </extLst>
    </bk>
    <bk>
      <extLst>
        <ext uri="{3e2802c4-a4d2-4d8b-9148-e3be6c30e623}">
          <xlrd:rvb i="1006"/>
        </ext>
      </extLst>
    </bk>
    <bk>
      <extLst>
        <ext uri="{3e2802c4-a4d2-4d8b-9148-e3be6c30e623}">
          <xlrd:rvb i="1009"/>
        </ext>
      </extLst>
    </bk>
    <bk>
      <extLst>
        <ext uri="{3e2802c4-a4d2-4d8b-9148-e3be6c30e623}">
          <xlrd:rvb i="1012"/>
        </ext>
      </extLst>
    </bk>
    <bk>
      <extLst>
        <ext uri="{3e2802c4-a4d2-4d8b-9148-e3be6c30e623}">
          <xlrd:rvb i="1015"/>
        </ext>
      </extLst>
    </bk>
    <bk>
      <extLst>
        <ext uri="{3e2802c4-a4d2-4d8b-9148-e3be6c30e623}">
          <xlrd:rvb i="1018"/>
        </ext>
      </extLst>
    </bk>
    <bk>
      <extLst>
        <ext uri="{3e2802c4-a4d2-4d8b-9148-e3be6c30e623}">
          <xlrd:rvb i="1021"/>
        </ext>
      </extLst>
    </bk>
    <bk>
      <extLst>
        <ext uri="{3e2802c4-a4d2-4d8b-9148-e3be6c30e623}">
          <xlrd:rvb i="1024"/>
        </ext>
      </extLst>
    </bk>
    <bk>
      <extLst>
        <ext uri="{3e2802c4-a4d2-4d8b-9148-e3be6c30e623}">
          <xlrd:rvb i="1027"/>
        </ext>
      </extLst>
    </bk>
    <bk>
      <extLst>
        <ext uri="{3e2802c4-a4d2-4d8b-9148-e3be6c30e623}">
          <xlrd:rvb i="1030"/>
        </ext>
      </extLst>
    </bk>
    <bk>
      <extLst>
        <ext uri="{3e2802c4-a4d2-4d8b-9148-e3be6c30e623}">
          <xlrd:rvb i="1033"/>
        </ext>
      </extLst>
    </bk>
    <bk>
      <extLst>
        <ext uri="{3e2802c4-a4d2-4d8b-9148-e3be6c30e623}">
          <xlrd:rvb i="1036"/>
        </ext>
      </extLst>
    </bk>
    <bk>
      <extLst>
        <ext uri="{3e2802c4-a4d2-4d8b-9148-e3be6c30e623}">
          <xlrd:rvb i="1039"/>
        </ext>
      </extLst>
    </bk>
    <bk>
      <extLst>
        <ext uri="{3e2802c4-a4d2-4d8b-9148-e3be6c30e623}">
          <xlrd:rvb i="1042"/>
        </ext>
      </extLst>
    </bk>
    <bk>
      <extLst>
        <ext uri="{3e2802c4-a4d2-4d8b-9148-e3be6c30e623}">
          <xlrd:rvb i="1045"/>
        </ext>
      </extLst>
    </bk>
    <bk>
      <extLst>
        <ext uri="{3e2802c4-a4d2-4d8b-9148-e3be6c30e623}">
          <xlrd:rvb i="1048"/>
        </ext>
      </extLst>
    </bk>
    <bk>
      <extLst>
        <ext uri="{3e2802c4-a4d2-4d8b-9148-e3be6c30e623}">
          <xlrd:rvb i="1051"/>
        </ext>
      </extLst>
    </bk>
    <bk>
      <extLst>
        <ext uri="{3e2802c4-a4d2-4d8b-9148-e3be6c30e623}">
          <xlrd:rvb i="1054"/>
        </ext>
      </extLst>
    </bk>
    <bk>
      <extLst>
        <ext uri="{3e2802c4-a4d2-4d8b-9148-e3be6c30e623}">
          <xlrd:rvb i="1057"/>
        </ext>
      </extLst>
    </bk>
    <bk>
      <extLst>
        <ext uri="{3e2802c4-a4d2-4d8b-9148-e3be6c30e623}">
          <xlrd:rvb i="1060"/>
        </ext>
      </extLst>
    </bk>
    <bk>
      <extLst>
        <ext uri="{3e2802c4-a4d2-4d8b-9148-e3be6c30e623}">
          <xlrd:rvb i="1063"/>
        </ext>
      </extLst>
    </bk>
    <bk>
      <extLst>
        <ext uri="{3e2802c4-a4d2-4d8b-9148-e3be6c30e623}">
          <xlrd:rvb i="1066"/>
        </ext>
      </extLst>
    </bk>
    <bk>
      <extLst>
        <ext uri="{3e2802c4-a4d2-4d8b-9148-e3be6c30e623}">
          <xlrd:rvb i="1069"/>
        </ext>
      </extLst>
    </bk>
    <bk>
      <extLst>
        <ext uri="{3e2802c4-a4d2-4d8b-9148-e3be6c30e623}">
          <xlrd:rvb i="1072"/>
        </ext>
      </extLst>
    </bk>
    <bk>
      <extLst>
        <ext uri="{3e2802c4-a4d2-4d8b-9148-e3be6c30e623}">
          <xlrd:rvb i="1075"/>
        </ext>
      </extLst>
    </bk>
    <bk>
      <extLst>
        <ext uri="{3e2802c4-a4d2-4d8b-9148-e3be6c30e623}">
          <xlrd:rvb i="1078"/>
        </ext>
      </extLst>
    </bk>
    <bk>
      <extLst>
        <ext uri="{3e2802c4-a4d2-4d8b-9148-e3be6c30e623}">
          <xlrd:rvb i="1081"/>
        </ext>
      </extLst>
    </bk>
    <bk>
      <extLst>
        <ext uri="{3e2802c4-a4d2-4d8b-9148-e3be6c30e623}">
          <xlrd:rvb i="1084"/>
        </ext>
      </extLst>
    </bk>
    <bk>
      <extLst>
        <ext uri="{3e2802c4-a4d2-4d8b-9148-e3be6c30e623}">
          <xlrd:rvb i="1087"/>
        </ext>
      </extLst>
    </bk>
    <bk>
      <extLst>
        <ext uri="{3e2802c4-a4d2-4d8b-9148-e3be6c30e623}">
          <xlrd:rvb i="1090"/>
        </ext>
      </extLst>
    </bk>
    <bk>
      <extLst>
        <ext uri="{3e2802c4-a4d2-4d8b-9148-e3be6c30e623}">
          <xlrd:rvb i="1093"/>
        </ext>
      </extLst>
    </bk>
    <bk>
      <extLst>
        <ext uri="{3e2802c4-a4d2-4d8b-9148-e3be6c30e623}">
          <xlrd:rvb i="1099"/>
        </ext>
      </extLst>
    </bk>
    <bk>
      <extLst>
        <ext uri="{3e2802c4-a4d2-4d8b-9148-e3be6c30e623}">
          <xlrd:rvb i="1102"/>
        </ext>
      </extLst>
    </bk>
    <bk>
      <extLst>
        <ext uri="{3e2802c4-a4d2-4d8b-9148-e3be6c30e623}">
          <xlrd:rvb i="1105"/>
        </ext>
      </extLst>
    </bk>
    <bk>
      <extLst>
        <ext uri="{3e2802c4-a4d2-4d8b-9148-e3be6c30e623}">
          <xlrd:rvb i="1108"/>
        </ext>
      </extLst>
    </bk>
    <bk>
      <extLst>
        <ext uri="{3e2802c4-a4d2-4d8b-9148-e3be6c30e623}">
          <xlrd:rvb i="1111"/>
        </ext>
      </extLst>
    </bk>
    <bk>
      <extLst>
        <ext uri="{3e2802c4-a4d2-4d8b-9148-e3be6c30e623}">
          <xlrd:rvb i="1114"/>
        </ext>
      </extLst>
    </bk>
    <bk>
      <extLst>
        <ext uri="{3e2802c4-a4d2-4d8b-9148-e3be6c30e623}">
          <xlrd:rvb i="1117"/>
        </ext>
      </extLst>
    </bk>
    <bk>
      <extLst>
        <ext uri="{3e2802c4-a4d2-4d8b-9148-e3be6c30e623}">
          <xlrd:rvb i="1120"/>
        </ext>
      </extLst>
    </bk>
    <bk>
      <extLst>
        <ext uri="{3e2802c4-a4d2-4d8b-9148-e3be6c30e623}">
          <xlrd:rvb i="1123"/>
        </ext>
      </extLst>
    </bk>
    <bk>
      <extLst>
        <ext uri="{3e2802c4-a4d2-4d8b-9148-e3be6c30e623}">
          <xlrd:rvb i="1126"/>
        </ext>
      </extLst>
    </bk>
    <bk>
      <extLst>
        <ext uri="{3e2802c4-a4d2-4d8b-9148-e3be6c30e623}">
          <xlrd:rvb i="1129"/>
        </ext>
      </extLst>
    </bk>
    <bk>
      <extLst>
        <ext uri="{3e2802c4-a4d2-4d8b-9148-e3be6c30e623}">
          <xlrd:rvb i="1132"/>
        </ext>
      </extLst>
    </bk>
    <bk>
      <extLst>
        <ext uri="{3e2802c4-a4d2-4d8b-9148-e3be6c30e623}">
          <xlrd:rvb i="1135"/>
        </ext>
      </extLst>
    </bk>
    <bk>
      <extLst>
        <ext uri="{3e2802c4-a4d2-4d8b-9148-e3be6c30e623}">
          <xlrd:rvb i="1138"/>
        </ext>
      </extLst>
    </bk>
    <bk>
      <extLst>
        <ext uri="{3e2802c4-a4d2-4d8b-9148-e3be6c30e623}">
          <xlrd:rvb i="1141"/>
        </ext>
      </extLst>
    </bk>
    <bk>
      <extLst>
        <ext uri="{3e2802c4-a4d2-4d8b-9148-e3be6c30e623}">
          <xlrd:rvb i="1144"/>
        </ext>
      </extLst>
    </bk>
    <bk>
      <extLst>
        <ext uri="{3e2802c4-a4d2-4d8b-9148-e3be6c30e623}">
          <xlrd:rvb i="1147"/>
        </ext>
      </extLst>
    </bk>
    <bk>
      <extLst>
        <ext uri="{3e2802c4-a4d2-4d8b-9148-e3be6c30e623}">
          <xlrd:rvb i="1150"/>
        </ext>
      </extLst>
    </bk>
    <bk>
      <extLst>
        <ext uri="{3e2802c4-a4d2-4d8b-9148-e3be6c30e623}">
          <xlrd:rvb i="1153"/>
        </ext>
      </extLst>
    </bk>
    <bk>
      <extLst>
        <ext uri="{3e2802c4-a4d2-4d8b-9148-e3be6c30e623}">
          <xlrd:rvb i="1156"/>
        </ext>
      </extLst>
    </bk>
    <bk>
      <extLst>
        <ext uri="{3e2802c4-a4d2-4d8b-9148-e3be6c30e623}">
          <xlrd:rvb i="1159"/>
        </ext>
      </extLst>
    </bk>
    <bk>
      <extLst>
        <ext uri="{3e2802c4-a4d2-4d8b-9148-e3be6c30e623}">
          <xlrd:rvb i="1162"/>
        </ext>
      </extLst>
    </bk>
    <bk>
      <extLst>
        <ext uri="{3e2802c4-a4d2-4d8b-9148-e3be6c30e623}">
          <xlrd:rvb i="1165"/>
        </ext>
      </extLst>
    </bk>
    <bk>
      <extLst>
        <ext uri="{3e2802c4-a4d2-4d8b-9148-e3be6c30e623}">
          <xlrd:rvb i="1168"/>
        </ext>
      </extLst>
    </bk>
    <bk>
      <extLst>
        <ext uri="{3e2802c4-a4d2-4d8b-9148-e3be6c30e623}">
          <xlrd:rvb i="1171"/>
        </ext>
      </extLst>
    </bk>
    <bk>
      <extLst>
        <ext uri="{3e2802c4-a4d2-4d8b-9148-e3be6c30e623}">
          <xlrd:rvb i="1174"/>
        </ext>
      </extLst>
    </bk>
    <bk>
      <extLst>
        <ext uri="{3e2802c4-a4d2-4d8b-9148-e3be6c30e623}">
          <xlrd:rvb i="1177"/>
        </ext>
      </extLst>
    </bk>
    <bk>
      <extLst>
        <ext uri="{3e2802c4-a4d2-4d8b-9148-e3be6c30e623}">
          <xlrd:rvb i="1180"/>
        </ext>
      </extLst>
    </bk>
    <bk>
      <extLst>
        <ext uri="{3e2802c4-a4d2-4d8b-9148-e3be6c30e623}">
          <xlrd:rvb i="1183"/>
        </ext>
      </extLst>
    </bk>
    <bk>
      <extLst>
        <ext uri="{3e2802c4-a4d2-4d8b-9148-e3be6c30e623}">
          <xlrd:rvb i="1186"/>
        </ext>
      </extLst>
    </bk>
    <bk>
      <extLst>
        <ext uri="{3e2802c4-a4d2-4d8b-9148-e3be6c30e623}">
          <xlrd:rvb i="1189"/>
        </ext>
      </extLst>
    </bk>
    <bk>
      <extLst>
        <ext uri="{3e2802c4-a4d2-4d8b-9148-e3be6c30e623}">
          <xlrd:rvb i="1192"/>
        </ext>
      </extLst>
    </bk>
    <bk>
      <extLst>
        <ext uri="{3e2802c4-a4d2-4d8b-9148-e3be6c30e623}">
          <xlrd:rvb i="1195"/>
        </ext>
      </extLst>
    </bk>
    <bk>
      <extLst>
        <ext uri="{3e2802c4-a4d2-4d8b-9148-e3be6c30e623}">
          <xlrd:rvb i="1198"/>
        </ext>
      </extLst>
    </bk>
    <bk>
      <extLst>
        <ext uri="{3e2802c4-a4d2-4d8b-9148-e3be6c30e623}">
          <xlrd:rvb i="1201"/>
        </ext>
      </extLst>
    </bk>
    <bk>
      <extLst>
        <ext uri="{3e2802c4-a4d2-4d8b-9148-e3be6c30e623}">
          <xlrd:rvb i="1204"/>
        </ext>
      </extLst>
    </bk>
    <bk>
      <extLst>
        <ext uri="{3e2802c4-a4d2-4d8b-9148-e3be6c30e623}">
          <xlrd:rvb i="1207"/>
        </ext>
      </extLst>
    </bk>
    <bk>
      <extLst>
        <ext uri="{3e2802c4-a4d2-4d8b-9148-e3be6c30e623}">
          <xlrd:rvb i="1210"/>
        </ext>
      </extLst>
    </bk>
    <bk>
      <extLst>
        <ext uri="{3e2802c4-a4d2-4d8b-9148-e3be6c30e623}">
          <xlrd:rvb i="1213"/>
        </ext>
      </extLst>
    </bk>
    <bk>
      <extLst>
        <ext uri="{3e2802c4-a4d2-4d8b-9148-e3be6c30e623}">
          <xlrd:rvb i="1216"/>
        </ext>
      </extLst>
    </bk>
    <bk>
      <extLst>
        <ext uri="{3e2802c4-a4d2-4d8b-9148-e3be6c30e623}">
          <xlrd:rvb i="1219"/>
        </ext>
      </extLst>
    </bk>
    <bk>
      <extLst>
        <ext uri="{3e2802c4-a4d2-4d8b-9148-e3be6c30e623}">
          <xlrd:rvb i="1222"/>
        </ext>
      </extLst>
    </bk>
    <bk>
      <extLst>
        <ext uri="{3e2802c4-a4d2-4d8b-9148-e3be6c30e623}">
          <xlrd:rvb i="1225"/>
        </ext>
      </extLst>
    </bk>
    <bk>
      <extLst>
        <ext uri="{3e2802c4-a4d2-4d8b-9148-e3be6c30e623}">
          <xlrd:rvb i="1228"/>
        </ext>
      </extLst>
    </bk>
    <bk>
      <extLst>
        <ext uri="{3e2802c4-a4d2-4d8b-9148-e3be6c30e623}">
          <xlrd:rvb i="1231"/>
        </ext>
      </extLst>
    </bk>
    <bk>
      <extLst>
        <ext uri="{3e2802c4-a4d2-4d8b-9148-e3be6c30e623}">
          <xlrd:rvb i="1234"/>
        </ext>
      </extLst>
    </bk>
    <bk>
      <extLst>
        <ext uri="{3e2802c4-a4d2-4d8b-9148-e3be6c30e623}">
          <xlrd:rvb i="1237"/>
        </ext>
      </extLst>
    </bk>
    <bk>
      <extLst>
        <ext uri="{3e2802c4-a4d2-4d8b-9148-e3be6c30e623}">
          <xlrd:rvb i="1244"/>
        </ext>
      </extLst>
    </bk>
    <bk>
      <extLst>
        <ext uri="{3e2802c4-a4d2-4d8b-9148-e3be6c30e623}">
          <xlrd:rvb i="1247"/>
        </ext>
      </extLst>
    </bk>
    <bk>
      <extLst>
        <ext uri="{3e2802c4-a4d2-4d8b-9148-e3be6c30e623}">
          <xlrd:rvb i="1250"/>
        </ext>
      </extLst>
    </bk>
    <bk>
      <extLst>
        <ext uri="{3e2802c4-a4d2-4d8b-9148-e3be6c30e623}">
          <xlrd:rvb i="1253"/>
        </ext>
      </extLst>
    </bk>
    <bk>
      <extLst>
        <ext uri="{3e2802c4-a4d2-4d8b-9148-e3be6c30e623}">
          <xlrd:rvb i="1256"/>
        </ext>
      </extLst>
    </bk>
    <bk>
      <extLst>
        <ext uri="{3e2802c4-a4d2-4d8b-9148-e3be6c30e623}">
          <xlrd:rvb i="1259"/>
        </ext>
      </extLst>
    </bk>
    <bk>
      <extLst>
        <ext uri="{3e2802c4-a4d2-4d8b-9148-e3be6c30e623}">
          <xlrd:rvb i="1262"/>
        </ext>
      </extLst>
    </bk>
    <bk>
      <extLst>
        <ext uri="{3e2802c4-a4d2-4d8b-9148-e3be6c30e623}">
          <xlrd:rvb i="1265"/>
        </ext>
      </extLst>
    </bk>
    <bk>
      <extLst>
        <ext uri="{3e2802c4-a4d2-4d8b-9148-e3be6c30e623}">
          <xlrd:rvb i="1268"/>
        </ext>
      </extLst>
    </bk>
    <bk>
      <extLst>
        <ext uri="{3e2802c4-a4d2-4d8b-9148-e3be6c30e623}">
          <xlrd:rvb i="1271"/>
        </ext>
      </extLst>
    </bk>
    <bk>
      <extLst>
        <ext uri="{3e2802c4-a4d2-4d8b-9148-e3be6c30e623}">
          <xlrd:rvb i="1274"/>
        </ext>
      </extLst>
    </bk>
    <bk>
      <extLst>
        <ext uri="{3e2802c4-a4d2-4d8b-9148-e3be6c30e623}">
          <xlrd:rvb i="1277"/>
        </ext>
      </extLst>
    </bk>
    <bk>
      <extLst>
        <ext uri="{3e2802c4-a4d2-4d8b-9148-e3be6c30e623}">
          <xlrd:rvb i="1280"/>
        </ext>
      </extLst>
    </bk>
    <bk>
      <extLst>
        <ext uri="{3e2802c4-a4d2-4d8b-9148-e3be6c30e623}">
          <xlrd:rvb i="1283"/>
        </ext>
      </extLst>
    </bk>
    <bk>
      <extLst>
        <ext uri="{3e2802c4-a4d2-4d8b-9148-e3be6c30e623}">
          <xlrd:rvb i="1286"/>
        </ext>
      </extLst>
    </bk>
    <bk>
      <extLst>
        <ext uri="{3e2802c4-a4d2-4d8b-9148-e3be6c30e623}">
          <xlrd:rvb i="1289"/>
        </ext>
      </extLst>
    </bk>
    <bk>
      <extLst>
        <ext uri="{3e2802c4-a4d2-4d8b-9148-e3be6c30e623}">
          <xlrd:rvb i="1292"/>
        </ext>
      </extLst>
    </bk>
    <bk>
      <extLst>
        <ext uri="{3e2802c4-a4d2-4d8b-9148-e3be6c30e623}">
          <xlrd:rvb i="1295"/>
        </ext>
      </extLst>
    </bk>
    <bk>
      <extLst>
        <ext uri="{3e2802c4-a4d2-4d8b-9148-e3be6c30e623}">
          <xlrd:rvb i="1298"/>
        </ext>
      </extLst>
    </bk>
    <bk>
      <extLst>
        <ext uri="{3e2802c4-a4d2-4d8b-9148-e3be6c30e623}">
          <xlrd:rvb i="1301"/>
        </ext>
      </extLst>
    </bk>
    <bk>
      <extLst>
        <ext uri="{3e2802c4-a4d2-4d8b-9148-e3be6c30e623}">
          <xlrd:rvb i="1304"/>
        </ext>
      </extLst>
    </bk>
    <bk>
      <extLst>
        <ext uri="{3e2802c4-a4d2-4d8b-9148-e3be6c30e623}">
          <xlrd:rvb i="1307"/>
        </ext>
      </extLst>
    </bk>
    <bk>
      <extLst>
        <ext uri="{3e2802c4-a4d2-4d8b-9148-e3be6c30e623}">
          <xlrd:rvb i="1310"/>
        </ext>
      </extLst>
    </bk>
    <bk>
      <extLst>
        <ext uri="{3e2802c4-a4d2-4d8b-9148-e3be6c30e623}">
          <xlrd:rvb i="1313"/>
        </ext>
      </extLst>
    </bk>
    <bk>
      <extLst>
        <ext uri="{3e2802c4-a4d2-4d8b-9148-e3be6c30e623}">
          <xlrd:rvb i="1316"/>
        </ext>
      </extLst>
    </bk>
    <bk>
      <extLst>
        <ext uri="{3e2802c4-a4d2-4d8b-9148-e3be6c30e623}">
          <xlrd:rvb i="1319"/>
        </ext>
      </extLst>
    </bk>
    <bk>
      <extLst>
        <ext uri="{3e2802c4-a4d2-4d8b-9148-e3be6c30e623}">
          <xlrd:rvb i="1322"/>
        </ext>
      </extLst>
    </bk>
    <bk>
      <extLst>
        <ext uri="{3e2802c4-a4d2-4d8b-9148-e3be6c30e623}">
          <xlrd:rvb i="1325"/>
        </ext>
      </extLst>
    </bk>
    <bk>
      <extLst>
        <ext uri="{3e2802c4-a4d2-4d8b-9148-e3be6c30e623}">
          <xlrd:rvb i="1328"/>
        </ext>
      </extLst>
    </bk>
    <bk>
      <extLst>
        <ext uri="{3e2802c4-a4d2-4d8b-9148-e3be6c30e623}">
          <xlrd:rvb i="1331"/>
        </ext>
      </extLst>
    </bk>
    <bk>
      <extLst>
        <ext uri="{3e2802c4-a4d2-4d8b-9148-e3be6c30e623}">
          <xlrd:rvb i="1334"/>
        </ext>
      </extLst>
    </bk>
    <bk>
      <extLst>
        <ext uri="{3e2802c4-a4d2-4d8b-9148-e3be6c30e623}">
          <xlrd:rvb i="1337"/>
        </ext>
      </extLst>
    </bk>
    <bk>
      <extLst>
        <ext uri="{3e2802c4-a4d2-4d8b-9148-e3be6c30e623}">
          <xlrd:rvb i="1340"/>
        </ext>
      </extLst>
    </bk>
    <bk>
      <extLst>
        <ext uri="{3e2802c4-a4d2-4d8b-9148-e3be6c30e623}">
          <xlrd:rvb i="1343"/>
        </ext>
      </extLst>
    </bk>
    <bk>
      <extLst>
        <ext uri="{3e2802c4-a4d2-4d8b-9148-e3be6c30e623}">
          <xlrd:rvb i="1346"/>
        </ext>
      </extLst>
    </bk>
    <bk>
      <extLst>
        <ext uri="{3e2802c4-a4d2-4d8b-9148-e3be6c30e623}">
          <xlrd:rvb i="1349"/>
        </ext>
      </extLst>
    </bk>
    <bk>
      <extLst>
        <ext uri="{3e2802c4-a4d2-4d8b-9148-e3be6c30e623}">
          <xlrd:rvb i="1352"/>
        </ext>
      </extLst>
    </bk>
    <bk>
      <extLst>
        <ext uri="{3e2802c4-a4d2-4d8b-9148-e3be6c30e623}">
          <xlrd:rvb i="1355"/>
        </ext>
      </extLst>
    </bk>
    <bk>
      <extLst>
        <ext uri="{3e2802c4-a4d2-4d8b-9148-e3be6c30e623}">
          <xlrd:rvb i="1358"/>
        </ext>
      </extLst>
    </bk>
    <bk>
      <extLst>
        <ext uri="{3e2802c4-a4d2-4d8b-9148-e3be6c30e623}">
          <xlrd:rvb i="1361"/>
        </ext>
      </extLst>
    </bk>
    <bk>
      <extLst>
        <ext uri="{3e2802c4-a4d2-4d8b-9148-e3be6c30e623}">
          <xlrd:rvb i="1364"/>
        </ext>
      </extLst>
    </bk>
    <bk>
      <extLst>
        <ext uri="{3e2802c4-a4d2-4d8b-9148-e3be6c30e623}">
          <xlrd:rvb i="1367"/>
        </ext>
      </extLst>
    </bk>
    <bk>
      <extLst>
        <ext uri="{3e2802c4-a4d2-4d8b-9148-e3be6c30e623}">
          <xlrd:rvb i="1370"/>
        </ext>
      </extLst>
    </bk>
    <bk>
      <extLst>
        <ext uri="{3e2802c4-a4d2-4d8b-9148-e3be6c30e623}">
          <xlrd:rvb i="1373"/>
        </ext>
      </extLst>
    </bk>
    <bk>
      <extLst>
        <ext uri="{3e2802c4-a4d2-4d8b-9148-e3be6c30e623}">
          <xlrd:rvb i="1376"/>
        </ext>
      </extLst>
    </bk>
    <bk>
      <extLst>
        <ext uri="{3e2802c4-a4d2-4d8b-9148-e3be6c30e623}">
          <xlrd:rvb i="1379"/>
        </ext>
      </extLst>
    </bk>
    <bk>
      <extLst>
        <ext uri="{3e2802c4-a4d2-4d8b-9148-e3be6c30e623}">
          <xlrd:rvb i="1382"/>
        </ext>
      </extLst>
    </bk>
    <bk>
      <extLst>
        <ext uri="{3e2802c4-a4d2-4d8b-9148-e3be6c30e623}">
          <xlrd:rvb i="1385"/>
        </ext>
      </extLst>
    </bk>
    <bk>
      <extLst>
        <ext uri="{3e2802c4-a4d2-4d8b-9148-e3be6c30e623}">
          <xlrd:rvb i="1388"/>
        </ext>
      </extLst>
    </bk>
    <bk>
      <extLst>
        <ext uri="{3e2802c4-a4d2-4d8b-9148-e3be6c30e623}">
          <xlrd:rvb i="1391"/>
        </ext>
      </extLst>
    </bk>
    <bk>
      <extLst>
        <ext uri="{3e2802c4-a4d2-4d8b-9148-e3be6c30e623}">
          <xlrd:rvb i="1394"/>
        </ext>
      </extLst>
    </bk>
    <bk>
      <extLst>
        <ext uri="{3e2802c4-a4d2-4d8b-9148-e3be6c30e623}">
          <xlrd:rvb i="1397"/>
        </ext>
      </extLst>
    </bk>
    <bk>
      <extLst>
        <ext uri="{3e2802c4-a4d2-4d8b-9148-e3be6c30e623}">
          <xlrd:rvb i="1400"/>
        </ext>
      </extLst>
    </bk>
    <bk>
      <extLst>
        <ext uri="{3e2802c4-a4d2-4d8b-9148-e3be6c30e623}">
          <xlrd:rvb i="1403"/>
        </ext>
      </extLst>
    </bk>
    <bk>
      <extLst>
        <ext uri="{3e2802c4-a4d2-4d8b-9148-e3be6c30e623}">
          <xlrd:rvb i="1406"/>
        </ext>
      </extLst>
    </bk>
    <bk>
      <extLst>
        <ext uri="{3e2802c4-a4d2-4d8b-9148-e3be6c30e623}">
          <xlrd:rvb i="1412"/>
        </ext>
      </extLst>
    </bk>
    <bk>
      <extLst>
        <ext uri="{3e2802c4-a4d2-4d8b-9148-e3be6c30e623}">
          <xlrd:rvb i="1415"/>
        </ext>
      </extLst>
    </bk>
    <bk>
      <extLst>
        <ext uri="{3e2802c4-a4d2-4d8b-9148-e3be6c30e623}">
          <xlrd:rvb i="1418"/>
        </ext>
      </extLst>
    </bk>
    <bk>
      <extLst>
        <ext uri="{3e2802c4-a4d2-4d8b-9148-e3be6c30e623}">
          <xlrd:rvb i="1421"/>
        </ext>
      </extLst>
    </bk>
    <bk>
      <extLst>
        <ext uri="{3e2802c4-a4d2-4d8b-9148-e3be6c30e623}">
          <xlrd:rvb i="1424"/>
        </ext>
      </extLst>
    </bk>
    <bk>
      <extLst>
        <ext uri="{3e2802c4-a4d2-4d8b-9148-e3be6c30e623}">
          <xlrd:rvb i="1427"/>
        </ext>
      </extLst>
    </bk>
    <bk>
      <extLst>
        <ext uri="{3e2802c4-a4d2-4d8b-9148-e3be6c30e623}">
          <xlrd:rvb i="1430"/>
        </ext>
      </extLst>
    </bk>
    <bk>
      <extLst>
        <ext uri="{3e2802c4-a4d2-4d8b-9148-e3be6c30e623}">
          <xlrd:rvb i="1433"/>
        </ext>
      </extLst>
    </bk>
    <bk>
      <extLst>
        <ext uri="{3e2802c4-a4d2-4d8b-9148-e3be6c30e623}">
          <xlrd:rvb i="1436"/>
        </ext>
      </extLst>
    </bk>
    <bk>
      <extLst>
        <ext uri="{3e2802c4-a4d2-4d8b-9148-e3be6c30e623}">
          <xlrd:rvb i="1439"/>
        </ext>
      </extLst>
    </bk>
    <bk>
      <extLst>
        <ext uri="{3e2802c4-a4d2-4d8b-9148-e3be6c30e623}">
          <xlrd:rvb i="1442"/>
        </ext>
      </extLst>
    </bk>
    <bk>
      <extLst>
        <ext uri="{3e2802c4-a4d2-4d8b-9148-e3be6c30e623}">
          <xlrd:rvb i="1445"/>
        </ext>
      </extLst>
    </bk>
    <bk>
      <extLst>
        <ext uri="{3e2802c4-a4d2-4d8b-9148-e3be6c30e623}">
          <xlrd:rvb i="1448"/>
        </ext>
      </extLst>
    </bk>
    <bk>
      <extLst>
        <ext uri="{3e2802c4-a4d2-4d8b-9148-e3be6c30e623}">
          <xlrd:rvb i="1451"/>
        </ext>
      </extLst>
    </bk>
    <bk>
      <extLst>
        <ext uri="{3e2802c4-a4d2-4d8b-9148-e3be6c30e623}">
          <xlrd:rvb i="1454"/>
        </ext>
      </extLst>
    </bk>
    <bk>
      <extLst>
        <ext uri="{3e2802c4-a4d2-4d8b-9148-e3be6c30e623}">
          <xlrd:rvb i="1457"/>
        </ext>
      </extLst>
    </bk>
    <bk>
      <extLst>
        <ext uri="{3e2802c4-a4d2-4d8b-9148-e3be6c30e623}">
          <xlrd:rvb i="1460"/>
        </ext>
      </extLst>
    </bk>
    <bk>
      <extLst>
        <ext uri="{3e2802c4-a4d2-4d8b-9148-e3be6c30e623}">
          <xlrd:rvb i="1463"/>
        </ext>
      </extLst>
    </bk>
    <bk>
      <extLst>
        <ext uri="{3e2802c4-a4d2-4d8b-9148-e3be6c30e623}">
          <xlrd:rvb i="1466"/>
        </ext>
      </extLst>
    </bk>
    <bk>
      <extLst>
        <ext uri="{3e2802c4-a4d2-4d8b-9148-e3be6c30e623}">
          <xlrd:rvb i="1469"/>
        </ext>
      </extLst>
    </bk>
    <bk>
      <extLst>
        <ext uri="{3e2802c4-a4d2-4d8b-9148-e3be6c30e623}">
          <xlrd:rvb i="1475"/>
        </ext>
      </extLst>
    </bk>
    <bk>
      <extLst>
        <ext uri="{3e2802c4-a4d2-4d8b-9148-e3be6c30e623}">
          <xlrd:rvb i="1478"/>
        </ext>
      </extLst>
    </bk>
    <bk>
      <extLst>
        <ext uri="{3e2802c4-a4d2-4d8b-9148-e3be6c30e623}">
          <xlrd:rvb i="1481"/>
        </ext>
      </extLst>
    </bk>
    <bk>
      <extLst>
        <ext uri="{3e2802c4-a4d2-4d8b-9148-e3be6c30e623}">
          <xlrd:rvb i="1484"/>
        </ext>
      </extLst>
    </bk>
    <bk>
      <extLst>
        <ext uri="{3e2802c4-a4d2-4d8b-9148-e3be6c30e623}">
          <xlrd:rvb i="1487"/>
        </ext>
      </extLst>
    </bk>
    <bk>
      <extLst>
        <ext uri="{3e2802c4-a4d2-4d8b-9148-e3be6c30e623}">
          <xlrd:rvb i="1490"/>
        </ext>
      </extLst>
    </bk>
    <bk>
      <extLst>
        <ext uri="{3e2802c4-a4d2-4d8b-9148-e3be6c30e623}">
          <xlrd:rvb i="1493"/>
        </ext>
      </extLst>
    </bk>
    <bk>
      <extLst>
        <ext uri="{3e2802c4-a4d2-4d8b-9148-e3be6c30e623}">
          <xlrd:rvb i="1496"/>
        </ext>
      </extLst>
    </bk>
    <bk>
      <extLst>
        <ext uri="{3e2802c4-a4d2-4d8b-9148-e3be6c30e623}">
          <xlrd:rvb i="1499"/>
        </ext>
      </extLst>
    </bk>
    <bk>
      <extLst>
        <ext uri="{3e2802c4-a4d2-4d8b-9148-e3be6c30e623}">
          <xlrd:rvb i="1502"/>
        </ext>
      </extLst>
    </bk>
    <bk>
      <extLst>
        <ext uri="{3e2802c4-a4d2-4d8b-9148-e3be6c30e623}">
          <xlrd:rvb i="1505"/>
        </ext>
      </extLst>
    </bk>
    <bk>
      <extLst>
        <ext uri="{3e2802c4-a4d2-4d8b-9148-e3be6c30e623}">
          <xlrd:rvb i="1506"/>
        </ext>
      </extLst>
    </bk>
    <bk>
      <extLst>
        <ext uri="{3e2802c4-a4d2-4d8b-9148-e3be6c30e623}">
          <xlrd:rvb i="1507"/>
        </ext>
      </extLst>
    </bk>
    <bk>
      <extLst>
        <ext uri="{3e2802c4-a4d2-4d8b-9148-e3be6c30e623}">
          <xlrd:rvb i="1508"/>
        </ext>
      </extLst>
    </bk>
    <bk>
      <extLst>
        <ext uri="{3e2802c4-a4d2-4d8b-9148-e3be6c30e623}">
          <xlrd:rvb i="1511"/>
        </ext>
      </extLst>
    </bk>
    <bk>
      <extLst>
        <ext uri="{3e2802c4-a4d2-4d8b-9148-e3be6c30e623}">
          <xlrd:rvb i="1514"/>
        </ext>
      </extLst>
    </bk>
    <bk>
      <extLst>
        <ext uri="{3e2802c4-a4d2-4d8b-9148-e3be6c30e623}">
          <xlrd:rvb i="1517"/>
        </ext>
      </extLst>
    </bk>
    <bk>
      <extLst>
        <ext uri="{3e2802c4-a4d2-4d8b-9148-e3be6c30e623}">
          <xlrd:rvb i="1520"/>
        </ext>
      </extLst>
    </bk>
    <bk>
      <extLst>
        <ext uri="{3e2802c4-a4d2-4d8b-9148-e3be6c30e623}">
          <xlrd:rvb i="1523"/>
        </ext>
      </extLst>
    </bk>
    <bk>
      <extLst>
        <ext uri="{3e2802c4-a4d2-4d8b-9148-e3be6c30e623}">
          <xlrd:rvb i="1526"/>
        </ext>
      </extLst>
    </bk>
    <bk>
      <extLst>
        <ext uri="{3e2802c4-a4d2-4d8b-9148-e3be6c30e623}">
          <xlrd:rvb i="1529"/>
        </ext>
      </extLst>
    </bk>
    <bk>
      <extLst>
        <ext uri="{3e2802c4-a4d2-4d8b-9148-e3be6c30e623}">
          <xlrd:rvb i="1532"/>
        </ext>
      </extLst>
    </bk>
    <bk>
      <extLst>
        <ext uri="{3e2802c4-a4d2-4d8b-9148-e3be6c30e623}">
          <xlrd:rvb i="1535"/>
        </ext>
      </extLst>
    </bk>
    <bk>
      <extLst>
        <ext uri="{3e2802c4-a4d2-4d8b-9148-e3be6c30e623}">
          <xlrd:rvb i="1538"/>
        </ext>
      </extLst>
    </bk>
    <bk>
      <extLst>
        <ext uri="{3e2802c4-a4d2-4d8b-9148-e3be6c30e623}">
          <xlrd:rvb i="1541"/>
        </ext>
      </extLst>
    </bk>
    <bk>
      <extLst>
        <ext uri="{3e2802c4-a4d2-4d8b-9148-e3be6c30e623}">
          <xlrd:rvb i="1544"/>
        </ext>
      </extLst>
    </bk>
    <bk>
      <extLst>
        <ext uri="{3e2802c4-a4d2-4d8b-9148-e3be6c30e623}">
          <xlrd:rvb i="1547"/>
        </ext>
      </extLst>
    </bk>
    <bk>
      <extLst>
        <ext uri="{3e2802c4-a4d2-4d8b-9148-e3be6c30e623}">
          <xlrd:rvb i="1550"/>
        </ext>
      </extLst>
    </bk>
    <bk>
      <extLst>
        <ext uri="{3e2802c4-a4d2-4d8b-9148-e3be6c30e623}">
          <xlrd:rvb i="1553"/>
        </ext>
      </extLst>
    </bk>
    <bk>
      <extLst>
        <ext uri="{3e2802c4-a4d2-4d8b-9148-e3be6c30e623}">
          <xlrd:rvb i="1556"/>
        </ext>
      </extLst>
    </bk>
    <bk>
      <extLst>
        <ext uri="{3e2802c4-a4d2-4d8b-9148-e3be6c30e623}">
          <xlrd:rvb i="1559"/>
        </ext>
      </extLst>
    </bk>
    <bk>
      <extLst>
        <ext uri="{3e2802c4-a4d2-4d8b-9148-e3be6c30e623}">
          <xlrd:rvb i="1562"/>
        </ext>
      </extLst>
    </bk>
    <bk>
      <extLst>
        <ext uri="{3e2802c4-a4d2-4d8b-9148-e3be6c30e623}">
          <xlrd:rvb i="1565"/>
        </ext>
      </extLst>
    </bk>
    <bk>
      <extLst>
        <ext uri="{3e2802c4-a4d2-4d8b-9148-e3be6c30e623}">
          <xlrd:rvb i="1568"/>
        </ext>
      </extLst>
    </bk>
    <bk>
      <extLst>
        <ext uri="{3e2802c4-a4d2-4d8b-9148-e3be6c30e623}">
          <xlrd:rvb i="1571"/>
        </ext>
      </extLst>
    </bk>
    <bk>
      <extLst>
        <ext uri="{3e2802c4-a4d2-4d8b-9148-e3be6c30e623}">
          <xlrd:rvb i="1574"/>
        </ext>
      </extLst>
    </bk>
    <bk>
      <extLst>
        <ext uri="{3e2802c4-a4d2-4d8b-9148-e3be6c30e623}">
          <xlrd:rvb i="1577"/>
        </ext>
      </extLst>
    </bk>
    <bk>
      <extLst>
        <ext uri="{3e2802c4-a4d2-4d8b-9148-e3be6c30e623}">
          <xlrd:rvb i="1580"/>
        </ext>
      </extLst>
    </bk>
  </futureMetadata>
  <cellMetadata count="1">
    <bk>
      <rc t="1" v="0"/>
    </bk>
  </cellMetadata>
  <valueMetadata count="505">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bk>
      <rc t="2" v="474"/>
    </bk>
    <bk>
      <rc t="2" v="475"/>
    </bk>
    <bk>
      <rc t="2" v="476"/>
    </bk>
    <bk>
      <rc t="2" v="477"/>
    </bk>
    <bk>
      <rc t="2" v="478"/>
    </bk>
    <bk>
      <rc t="2" v="479"/>
    </bk>
    <bk>
      <rc t="2" v="480"/>
    </bk>
    <bk>
      <rc t="2" v="481"/>
    </bk>
    <bk>
      <rc t="2" v="482"/>
    </bk>
    <bk>
      <rc t="2" v="483"/>
    </bk>
    <bk>
      <rc t="2" v="484"/>
    </bk>
    <bk>
      <rc t="2" v="485"/>
    </bk>
    <bk>
      <rc t="2" v="486"/>
    </bk>
    <bk>
      <rc t="2" v="487"/>
    </bk>
    <bk>
      <rc t="2" v="488"/>
    </bk>
    <bk>
      <rc t="2" v="489"/>
    </bk>
    <bk>
      <rc t="2" v="490"/>
    </bk>
    <bk>
      <rc t="2" v="491"/>
    </bk>
    <bk>
      <rc t="2" v="492"/>
    </bk>
    <bk>
      <rc t="2" v="493"/>
    </bk>
    <bk>
      <rc t="2" v="494"/>
    </bk>
    <bk>
      <rc t="2" v="495"/>
    </bk>
    <bk>
      <rc t="2" v="496"/>
    </bk>
    <bk>
      <rc t="2" v="497"/>
    </bk>
    <bk>
      <rc t="2" v="498"/>
    </bk>
    <bk>
      <rc t="2" v="499"/>
    </bk>
    <bk>
      <rc t="2" v="500"/>
    </bk>
    <bk>
      <rc t="2" v="501"/>
    </bk>
    <bk>
      <rc t="2" v="502"/>
    </bk>
    <bk>
      <rc t="2" v="503"/>
    </bk>
    <bk>
      <rc t="2" v="504"/>
    </bk>
  </valueMetadata>
</metadata>
</file>

<file path=xl/sharedStrings.xml><?xml version="1.0" encoding="utf-8"?>
<sst xmlns="http://schemas.openxmlformats.org/spreadsheetml/2006/main" count="1598" uniqueCount="879">
  <si>
    <t>#</t>
  </si>
  <si>
    <t>Company</t>
  </si>
  <si>
    <t>Weight</t>
  </si>
  <si>
    <t>Price</t>
  </si>
  <si>
    <t>Chg</t>
  </si>
  <si>
    <t>% Chg</t>
  </si>
  <si>
    <t>Apple Inc.</t>
  </si>
  <si>
    <t>Microsoft Corporation</t>
  </si>
  <si>
    <t>Amazon.com Inc.</t>
  </si>
  <si>
    <t>Alphabet Inc. Class A</t>
  </si>
  <si>
    <t>Berkshire Hathaway Inc. Class B</t>
  </si>
  <si>
    <t>Alphabet Inc. Class C</t>
  </si>
  <si>
    <t>UnitedHealth Group Incorporated</t>
  </si>
  <si>
    <t>Tesla Inc</t>
  </si>
  <si>
    <t>Johnson &amp; Johnson</t>
  </si>
  <si>
    <t>Exxon Mobil Corporation</t>
  </si>
  <si>
    <t>NVIDIA Corporation</t>
  </si>
  <si>
    <t>JPMorgan Chase &amp; Co.</t>
  </si>
  <si>
    <t>Procter &amp; Gamble Company</t>
  </si>
  <si>
    <t>Visa Inc. Class A</t>
  </si>
  <si>
    <t>Home Depot Inc.</t>
  </si>
  <si>
    <t>Chevron Corporation</t>
  </si>
  <si>
    <t>Mastercard Incorporated Class A</t>
  </si>
  <si>
    <t>(-0.39%)</t>
  </si>
  <si>
    <t>Eli Lilly and Company</t>
  </si>
  <si>
    <t>AbbVie Inc.</t>
  </si>
  <si>
    <t>Pfizer Inc.</t>
  </si>
  <si>
    <t>Merck &amp; Co. Inc.</t>
  </si>
  <si>
    <t>Bank of America Corp</t>
  </si>
  <si>
    <t>PepsiCo Inc.</t>
  </si>
  <si>
    <t>Meta Platforms Inc. Class A</t>
  </si>
  <si>
    <t>Coca-Cola Company</t>
  </si>
  <si>
    <t>(-0.60%)</t>
  </si>
  <si>
    <t>Costco Wholesale Corporation</t>
  </si>
  <si>
    <t>(-0.42%)</t>
  </si>
  <si>
    <t>Walmart Inc.</t>
  </si>
  <si>
    <t>(-0.01%)</t>
  </si>
  <si>
    <t>Thermo Fisher Scientific Inc.</t>
  </si>
  <si>
    <t>Broadcom Inc.</t>
  </si>
  <si>
    <t>McDonald's Corporation</t>
  </si>
  <si>
    <t>Cisco Systems Inc.</t>
  </si>
  <si>
    <t>Abbott Laboratories</t>
  </si>
  <si>
    <t>Accenture Plc Class A</t>
  </si>
  <si>
    <t>Wells Fargo &amp; Company</t>
  </si>
  <si>
    <t>Walt Disney Company</t>
  </si>
  <si>
    <t>Danaher Corporation</t>
  </si>
  <si>
    <t>Bristol-Myers Squibb Company</t>
  </si>
  <si>
    <t>Linde plc</t>
  </si>
  <si>
    <t>NextEra Energy Inc.</t>
  </si>
  <si>
    <t>Verizon Communications Inc.</t>
  </si>
  <si>
    <t>Texas Instruments Incorporated</t>
  </si>
  <si>
    <t>ConocoPhillips</t>
  </si>
  <si>
    <t>Comcast Corporation Class A</t>
  </si>
  <si>
    <t>Adobe Incorporated</t>
  </si>
  <si>
    <t>Salesforce Inc.</t>
  </si>
  <si>
    <t>Philip Morris International Inc.</t>
  </si>
  <si>
    <t>Amgen Inc.</t>
  </si>
  <si>
    <t>(-0.08%)</t>
  </si>
  <si>
    <t>Honeywell International Inc.</t>
  </si>
  <si>
    <t>Raytheon Technologies Corporation</t>
  </si>
  <si>
    <t>QUALCOMM Incorporated</t>
  </si>
  <si>
    <t>AT&amp;T Inc.</t>
  </si>
  <si>
    <t>Lowe's Companies Inc.</t>
  </si>
  <si>
    <t>NIKE Inc. Class B</t>
  </si>
  <si>
    <t>International Business Machines Corporation</t>
  </si>
  <si>
    <t>CVS Health Corporation</t>
  </si>
  <si>
    <t>United Parcel Service Inc. Class B</t>
  </si>
  <si>
    <t>Goldman Sachs Group Inc.</t>
  </si>
  <si>
    <t>Union Pacific Corporation</t>
  </si>
  <si>
    <t>Netflix Inc.</t>
  </si>
  <si>
    <t>Oracle Corporation</t>
  </si>
  <si>
    <t>Elevance Health Inc.</t>
  </si>
  <si>
    <t>Caterpillar Inc.</t>
  </si>
  <si>
    <t>Deere &amp; Company</t>
  </si>
  <si>
    <t>Charles Schwab Corp</t>
  </si>
  <si>
    <t>Morgan Stanley</t>
  </si>
  <si>
    <t>S&amp;P Global Inc.</t>
  </si>
  <si>
    <t>Advanced Micro Devices Inc.</t>
  </si>
  <si>
    <t>Intel Corporation</t>
  </si>
  <si>
    <t>Lockheed Martin Corporation</t>
  </si>
  <si>
    <t>Starbucks Corporation</t>
  </si>
  <si>
    <t>BlackRock Inc.</t>
  </si>
  <si>
    <t>Intuit Inc.</t>
  </si>
  <si>
    <t>Automatic Data Processing Inc.</t>
  </si>
  <si>
    <t>Gilead Sciences Inc.</t>
  </si>
  <si>
    <t>Prologis Inc.</t>
  </si>
  <si>
    <t>Medtronic Plc</t>
  </si>
  <si>
    <t>American Tower Corporation</t>
  </si>
  <si>
    <t>Cigna Corporation</t>
  </si>
  <si>
    <t>Boeing Company</t>
  </si>
  <si>
    <t>TJX Companies Inc</t>
  </si>
  <si>
    <t>Intuitive Surgical Inc.</t>
  </si>
  <si>
    <t>General Electric Company</t>
  </si>
  <si>
    <t>PayPal Holdings Inc.</t>
  </si>
  <si>
    <t>Citigroup Inc.</t>
  </si>
  <si>
    <t>Mondelez International Inc. Class A</t>
  </si>
  <si>
    <t>American Express Company</t>
  </si>
  <si>
    <t>T-Mobile US Inc.</t>
  </si>
  <si>
    <t>Applied Materials Inc.</t>
  </si>
  <si>
    <t>Chubb Limited</t>
  </si>
  <si>
    <t>Analog Devices Inc.</t>
  </si>
  <si>
    <t>Marsh &amp; McLennan Companies Inc.</t>
  </si>
  <si>
    <t>Altria Group Inc</t>
  </si>
  <si>
    <t>ServiceNow Inc.</t>
  </si>
  <si>
    <t>Vertex Pharmaceuticals Incorporated</t>
  </si>
  <si>
    <t>EOG Resources Inc.</t>
  </si>
  <si>
    <t>Regeneron Pharmaceuticals Inc.</t>
  </si>
  <si>
    <t>Booking Holdings Inc.</t>
  </si>
  <si>
    <t>Target Corporation</t>
  </si>
  <si>
    <t>Stryker Corporation</t>
  </si>
  <si>
    <t>(-0.07%)</t>
  </si>
  <si>
    <t>Northrop Grumman Corp.</t>
  </si>
  <si>
    <t>Progressive Corporation</t>
  </si>
  <si>
    <t>Duke Energy Corporation</t>
  </si>
  <si>
    <t>Schlumberger NV</t>
  </si>
  <si>
    <t>Southern Company</t>
  </si>
  <si>
    <t>Zoetis Inc. Class A</t>
  </si>
  <si>
    <t>3M Company</t>
  </si>
  <si>
    <t>CSX Corporation</t>
  </si>
  <si>
    <t>Becton Dickinson and Company</t>
  </si>
  <si>
    <t>Humana Inc.</t>
  </si>
  <si>
    <t>Air Products and Chemicals Inc.</t>
  </si>
  <si>
    <t>PNC Financial Services Group Inc.</t>
  </si>
  <si>
    <t>(0.60%)</t>
  </si>
  <si>
    <t>Fiserv Inc.</t>
  </si>
  <si>
    <t>Eaton Corp. Plc</t>
  </si>
  <si>
    <t>Aon Plc Class A</t>
  </si>
  <si>
    <t>(-0.34%)</t>
  </si>
  <si>
    <t>Colgate-Palmolive Company</t>
  </si>
  <si>
    <t>Illinois Tool Works Inc.</t>
  </si>
  <si>
    <t>Boston Scientific Corporation</t>
  </si>
  <si>
    <t>Waste Management Inc.</t>
  </si>
  <si>
    <t>CME Group Inc. Class A</t>
  </si>
  <si>
    <t>Micron Technology Inc.</t>
  </si>
  <si>
    <t>Marathon Petroleum Corporation</t>
  </si>
  <si>
    <t>Lam Research Corporation</t>
  </si>
  <si>
    <t>Equinix Inc.</t>
  </si>
  <si>
    <t>Truist Financial Corporation</t>
  </si>
  <si>
    <t>Crown Castle Inc.</t>
  </si>
  <si>
    <t>U.S. Bancorp</t>
  </si>
  <si>
    <t>Moderna Inc.</t>
  </si>
  <si>
    <t>Intercontinental Exchange Inc.</t>
  </si>
  <si>
    <t>Pioneer Natural Resources Company</t>
  </si>
  <si>
    <t>Norfolk Southern Corporation</t>
  </si>
  <si>
    <t>Sherwin-Williams Company</t>
  </si>
  <si>
    <t>Dollar General Corporation</t>
  </si>
  <si>
    <t>(-0.47%)</t>
  </si>
  <si>
    <t>General Motors Company</t>
  </si>
  <si>
    <t>General Dynamics Corporation</t>
  </si>
  <si>
    <t>Emerson Electric Co.</t>
  </si>
  <si>
    <t>McKesson Corporation</t>
  </si>
  <si>
    <t>O'Reilly Automotive Inc.</t>
  </si>
  <si>
    <t>(-0.31%)</t>
  </si>
  <si>
    <t>Ford Motor Company</t>
  </si>
  <si>
    <t>Archer-Daniels-Midland Company</t>
  </si>
  <si>
    <t>Activision Blizzard Inc.</t>
  </si>
  <si>
    <t>KLA Corporation</t>
  </si>
  <si>
    <t>Valero Energy Corporation</t>
  </si>
  <si>
    <t>Freeport-McMoRan Inc.</t>
  </si>
  <si>
    <t>Phillips 66</t>
  </si>
  <si>
    <t>Sempra Energy</t>
  </si>
  <si>
    <t>Occidental Petroleum Corporation</t>
  </si>
  <si>
    <t>MetLife Inc.</t>
  </si>
  <si>
    <t>Dominion Energy Inc</t>
  </si>
  <si>
    <t>HCA Healthcare Inc</t>
  </si>
  <si>
    <t>Synopsys Inc.</t>
  </si>
  <si>
    <t>Estee Lauder Companies Inc. Class A</t>
  </si>
  <si>
    <t>AutoZone Inc.</t>
  </si>
  <si>
    <t>General Mills Inc.</t>
  </si>
  <si>
    <t>American Electric Power Company Inc.</t>
  </si>
  <si>
    <t>Centene Corporation</t>
  </si>
  <si>
    <t>(-0.18%)</t>
  </si>
  <si>
    <t>Edwards Lifesciences Corporation</t>
  </si>
  <si>
    <t>Corteva Inc</t>
  </si>
  <si>
    <t>American International Group Inc.</t>
  </si>
  <si>
    <t>Amphenol Corporation Class A</t>
  </si>
  <si>
    <t>Moody's Corporation</t>
  </si>
  <si>
    <t>Public Storage</t>
  </si>
  <si>
    <t>Agilent Technologies Inc.</t>
  </si>
  <si>
    <t>Johnson Controls International plc</t>
  </si>
  <si>
    <t>Cadence Design Systems Inc.</t>
  </si>
  <si>
    <t>Kimberly-Clark Corporation</t>
  </si>
  <si>
    <t>Roper Technologies Inc.</t>
  </si>
  <si>
    <t>Motorola Solutions Inc.</t>
  </si>
  <si>
    <t>Travelers Companies Inc.</t>
  </si>
  <si>
    <t>DexCom Inc.</t>
  </si>
  <si>
    <t>Sysco Corporation</t>
  </si>
  <si>
    <t>(-0.70%)</t>
  </si>
  <si>
    <t>Devon Energy Corporation</t>
  </si>
  <si>
    <t>Marriott International Inc. Class A</t>
  </si>
  <si>
    <t>L3Harris Technologies Inc</t>
  </si>
  <si>
    <t>NXP Semiconductors NV</t>
  </si>
  <si>
    <t>Charter Communications Inc. Class A</t>
  </si>
  <si>
    <t>Autodesk Inc.</t>
  </si>
  <si>
    <t>Chipotle Mexican Grill Inc.</t>
  </si>
  <si>
    <t>Biogen Inc.</t>
  </si>
  <si>
    <t>Enphase Energy Inc.</t>
  </si>
  <si>
    <t>Arthur J. Gallagher &amp; Co.</t>
  </si>
  <si>
    <t>FedEx Corporation</t>
  </si>
  <si>
    <t>Constellation Brands Inc. Class A</t>
  </si>
  <si>
    <t>Microchip Technology Incorporated</t>
  </si>
  <si>
    <t>Aflac Incorporated</t>
  </si>
  <si>
    <t>Williams Companies Inc.</t>
  </si>
  <si>
    <t>Ross Stores Inc.</t>
  </si>
  <si>
    <t>Trane Technologies plc</t>
  </si>
  <si>
    <t>MSCI Inc. Class A</t>
  </si>
  <si>
    <t>IQVIA Holdings Inc</t>
  </si>
  <si>
    <t>Exelon Corporation</t>
  </si>
  <si>
    <t>Fidelity National Information Services Inc.</t>
  </si>
  <si>
    <t>TE Connectivity Ltd.</t>
  </si>
  <si>
    <t>Prudential Financial Inc.</t>
  </si>
  <si>
    <t>Monster Beverage Corporation</t>
  </si>
  <si>
    <t>Cintas Corporation</t>
  </si>
  <si>
    <t>Nucor Corporation</t>
  </si>
  <si>
    <t>Hess Corporation</t>
  </si>
  <si>
    <t>Paychex Inc.</t>
  </si>
  <si>
    <t>(-0.48%)</t>
  </si>
  <si>
    <t>Capital One Financial Corp</t>
  </si>
  <si>
    <t>Realty Income Corporation</t>
  </si>
  <si>
    <t>Parker-Hannifin Corporation</t>
  </si>
  <si>
    <t>Simon Property Group Inc.</t>
  </si>
  <si>
    <t>Xcel Energy Inc.</t>
  </si>
  <si>
    <t>Hilton Worldwide Holdings Inc</t>
  </si>
  <si>
    <t>Kinder Morgan Inc Class P</t>
  </si>
  <si>
    <t>Carrier Global Corp.</t>
  </si>
  <si>
    <t>Dow Inc.</t>
  </si>
  <si>
    <t>Yum! Brands Inc.</t>
  </si>
  <si>
    <t>Allstate Corporation</t>
  </si>
  <si>
    <t>Ecolab Inc.</t>
  </si>
  <si>
    <t>PACCAR Inc</t>
  </si>
  <si>
    <t>Ameriprise Financial Inc.</t>
  </si>
  <si>
    <t>Newmont Corporation</t>
  </si>
  <si>
    <t>DuPont de Nemours Inc.</t>
  </si>
  <si>
    <t>Cummins Inc.</t>
  </si>
  <si>
    <t>Hershey Company</t>
  </si>
  <si>
    <t>Fortinet Inc.</t>
  </si>
  <si>
    <t>Consolidated Edison Inc.</t>
  </si>
  <si>
    <t>Electronic Arts Inc.</t>
  </si>
  <si>
    <t>Illumina Inc.</t>
  </si>
  <si>
    <t>IDEXX Laboratories Inc.</t>
  </si>
  <si>
    <t>Arista Networks Inc.</t>
  </si>
  <si>
    <t>Bank of New York Mellon Corp</t>
  </si>
  <si>
    <t>ResMed Inc.</t>
  </si>
  <si>
    <t>Keurig Dr Pepper Inc.</t>
  </si>
  <si>
    <t>Mettler-Toledo International Inc.</t>
  </si>
  <si>
    <t>Halliburton Company</t>
  </si>
  <si>
    <t>Otis Worldwide Corporation</t>
  </si>
  <si>
    <t>Kroger Co.</t>
  </si>
  <si>
    <t>AMETEK Inc.</t>
  </si>
  <si>
    <t>VICI Properties Inc</t>
  </si>
  <si>
    <t>SBA Communications Corp. Class A</t>
  </si>
  <si>
    <t>TransDigm Group Incorporated</t>
  </si>
  <si>
    <t>Keysight Technologies Inc</t>
  </si>
  <si>
    <t>Dollar Tree Inc.</t>
  </si>
  <si>
    <t>CoStar Group Inc.</t>
  </si>
  <si>
    <t>Cognizant Technology Solutions Corporation Class A</t>
  </si>
  <si>
    <t>Kraft Heinz Company</t>
  </si>
  <si>
    <t>Digital Realty Trust Inc.</t>
  </si>
  <si>
    <t>Welltower Inc</t>
  </si>
  <si>
    <t>Albemarle Corporation</t>
  </si>
  <si>
    <t>Constellation Energy Corporation</t>
  </si>
  <si>
    <t>PPG Industries Inc.</t>
  </si>
  <si>
    <t>WEC Energy Group Inc</t>
  </si>
  <si>
    <t>ON Semiconductor Corporation</t>
  </si>
  <si>
    <t>Rockwell Automation Inc.</t>
  </si>
  <si>
    <t>M&amp;T Bank Corporation</t>
  </si>
  <si>
    <t>Public Service Enterprise Group Inc</t>
  </si>
  <si>
    <t>Discover Financial Services</t>
  </si>
  <si>
    <t>Fastenal Company</t>
  </si>
  <si>
    <t>Walgreens Boots Alliance Inc.</t>
  </si>
  <si>
    <t>Baker Hughes Company Class A</t>
  </si>
  <si>
    <t>Eversource Energy</t>
  </si>
  <si>
    <t>ONEOK Inc.</t>
  </si>
  <si>
    <t>Republic Services Inc.</t>
  </si>
  <si>
    <t>Verisk Analytics Inc</t>
  </si>
  <si>
    <t>Baxter International Inc.</t>
  </si>
  <si>
    <t>Global Payments Inc.</t>
  </si>
  <si>
    <t>Copart Inc.</t>
  </si>
  <si>
    <t>Aptiv PLC</t>
  </si>
  <si>
    <t>T. Rowe Price Group</t>
  </si>
  <si>
    <t>Gartner Inc.</t>
  </si>
  <si>
    <t>American Water Works Company Inc.</t>
  </si>
  <si>
    <t>W.W. Grainger Inc.</t>
  </si>
  <si>
    <t>State Street Corporation</t>
  </si>
  <si>
    <t>HP Inc.</t>
  </si>
  <si>
    <t>Old Dominion Freight Line Inc.</t>
  </si>
  <si>
    <t>D.R. Horton Inc.</t>
  </si>
  <si>
    <t>Willis Towers Watson Public Limited Company</t>
  </si>
  <si>
    <t>Genuine Parts Company</t>
  </si>
  <si>
    <t>AmerisourceBergen Corporation</t>
  </si>
  <si>
    <t>Diamondback Energy Inc.</t>
  </si>
  <si>
    <t>International Flavors &amp; Fragrances Inc.</t>
  </si>
  <si>
    <t>Corning Inc</t>
  </si>
  <si>
    <t>CDW Corp.</t>
  </si>
  <si>
    <t>Tractor Supply Company</t>
  </si>
  <si>
    <t>eBay Inc.</t>
  </si>
  <si>
    <t>Zimmer Biomet Holdings Inc.</t>
  </si>
  <si>
    <t>United Rentals Inc.</t>
  </si>
  <si>
    <t>PG&amp;E Corporation</t>
  </si>
  <si>
    <t>Hartford Financial Services Group Inc.</t>
  </si>
  <si>
    <t>Fifth Third Bancorp</t>
  </si>
  <si>
    <t>CBRE Group Inc. Class A</t>
  </si>
  <si>
    <t>Warner Bros. Discovery Inc. Series A</t>
  </si>
  <si>
    <t>Edison International</t>
  </si>
  <si>
    <t>Ulta Beauty Inc.</t>
  </si>
  <si>
    <t>Vulcan Materials Company</t>
  </si>
  <si>
    <t>Fortive Corp.</t>
  </si>
  <si>
    <t>AvalonBay Communities Inc.</t>
  </si>
  <si>
    <t>Weyerhaeuser Company</t>
  </si>
  <si>
    <t>Equifax Inc.</t>
  </si>
  <si>
    <t>Entergy Corporation</t>
  </si>
  <si>
    <t>Southwest Airlines Co.</t>
  </si>
  <si>
    <t>Nasdaq Inc.</t>
  </si>
  <si>
    <t>Raymond James Financial Inc.</t>
  </si>
  <si>
    <t>Ameren Corporation</t>
  </si>
  <si>
    <t>Martin Marietta Materials Inc.</t>
  </si>
  <si>
    <t>DTE Energy Company</t>
  </si>
  <si>
    <t>Alexandria Real Estate Equities Inc.</t>
  </si>
  <si>
    <t>First Republic Bank</t>
  </si>
  <si>
    <t>(0.20%)</t>
  </si>
  <si>
    <t>Lennar Corporation Class A</t>
  </si>
  <si>
    <t>Huntington Bancshares Incorporated</t>
  </si>
  <si>
    <t>Coterra Energy Inc.</t>
  </si>
  <si>
    <t>Laboratory Corporation of America Holdings</t>
  </si>
  <si>
    <t>FirstEnergy Corp.</t>
  </si>
  <si>
    <t>Delta Air Lines Inc.</t>
  </si>
  <si>
    <t>PPL Corporation</t>
  </si>
  <si>
    <t>Cardinal Health Inc.</t>
  </si>
  <si>
    <t>Ingersoll Rand Inc.</t>
  </si>
  <si>
    <t>LyondellBasell Industries NV</t>
  </si>
  <si>
    <t>Regions Financial Corporation</t>
  </si>
  <si>
    <t>Arch Capital Group Ltd.</t>
  </si>
  <si>
    <t>Equity Residential</t>
  </si>
  <si>
    <t>ANSYS Inc.</t>
  </si>
  <si>
    <t>CF Industries Holdings Inc.</t>
  </si>
  <si>
    <t>Principal Financial Group Inc.</t>
  </si>
  <si>
    <t>McCormick &amp; Company Incorporated</t>
  </si>
  <si>
    <t>Quanta Services Inc.</t>
  </si>
  <si>
    <t>Citizens Financial Group Inc.</t>
  </si>
  <si>
    <t>Extra Space Storage Inc.</t>
  </si>
  <si>
    <t>Marathon Oil Corporation</t>
  </si>
  <si>
    <t>Hewlett Packard Enterprise Co.</t>
  </si>
  <si>
    <t>EPAM Systems Inc.</t>
  </si>
  <si>
    <t>Dover Corporation</t>
  </si>
  <si>
    <t>Waters Corporation</t>
  </si>
  <si>
    <t>Xylem Inc.</t>
  </si>
  <si>
    <t>CenterPoint Energy Inc.</t>
  </si>
  <si>
    <t>Church &amp; Dwight Co. Inc.</t>
  </si>
  <si>
    <t>Teledyne Technologies Incorporated</t>
  </si>
  <si>
    <t>Tyson Foods Inc. Class A</t>
  </si>
  <si>
    <t>Molina Healthcare Inc.</t>
  </si>
  <si>
    <t>Northern Trust Corporation</t>
  </si>
  <si>
    <t>AES Corporation</t>
  </si>
  <si>
    <t>Hologic Inc.</t>
  </si>
  <si>
    <t>VeriSign Inc.</t>
  </si>
  <si>
    <t>Kellogg Company</t>
  </si>
  <si>
    <t>Expeditors International of Washington Inc.</t>
  </si>
  <si>
    <t>Clorox Company</t>
  </si>
  <si>
    <t>Mid-America Apartment Communities Inc.</t>
  </si>
  <si>
    <t>Amcor PLC</t>
  </si>
  <si>
    <t>Darden Restaurants Inc.</t>
  </si>
  <si>
    <t>(-1.03%)</t>
  </si>
  <si>
    <t>Westinghouse Air Brake Technologies Corporation</t>
  </si>
  <si>
    <t>Invitation Homes Inc.</t>
  </si>
  <si>
    <t>STERIS Plc</t>
  </si>
  <si>
    <t>Conagra Brands Inc.</t>
  </si>
  <si>
    <t>(-0.58%)</t>
  </si>
  <si>
    <t>Synchrony Financial</t>
  </si>
  <si>
    <t>CMS Energy Corporation</t>
  </si>
  <si>
    <t>Ventas Inc.</t>
  </si>
  <si>
    <t>IDEX Corporation</t>
  </si>
  <si>
    <t>Quest Diagnostics Incorporated</t>
  </si>
  <si>
    <t>Mosaic Company</t>
  </si>
  <si>
    <t>Ball Corporation</t>
  </si>
  <si>
    <t>Cincinnati Financial Corporation</t>
  </si>
  <si>
    <t>FactSet Research Systems Inc.</t>
  </si>
  <si>
    <t>ABIOMED Inc.</t>
  </si>
  <si>
    <t>KeyCorp</t>
  </si>
  <si>
    <t>Broadridge Financial Solutions Inc.</t>
  </si>
  <si>
    <t>PerkinElmer Inc.</t>
  </si>
  <si>
    <t>Best Buy Co. Inc.</t>
  </si>
  <si>
    <t>West Pharmaceutical Services Inc.</t>
  </si>
  <si>
    <t>(-0.41%)</t>
  </si>
  <si>
    <t>Atmos Energy Corporation</t>
  </si>
  <si>
    <t>Targa Resources Corp.</t>
  </si>
  <si>
    <t>SolarEdge Technologies Inc.</t>
  </si>
  <si>
    <t>J.M. Smucker Company</t>
  </si>
  <si>
    <t>NetApp Inc.</t>
  </si>
  <si>
    <t>FMC Corporation</t>
  </si>
  <si>
    <t>Omnicom Group Inc</t>
  </si>
  <si>
    <t>Take-Two Interactive Software Inc.</t>
  </si>
  <si>
    <t>Monolithic Power Systems Inc.</t>
  </si>
  <si>
    <t>Jacobs Solutions Inc.</t>
  </si>
  <si>
    <t>Paycom Software Inc.</t>
  </si>
  <si>
    <t>Avery Dennison Corporation</t>
  </si>
  <si>
    <t>Iron Mountain Inc.</t>
  </si>
  <si>
    <t>W. R. Berkley Corporation</t>
  </si>
  <si>
    <t>EQT Corporation</t>
  </si>
  <si>
    <t>Cooper Companies Inc.</t>
  </si>
  <si>
    <t>Etsy Inc.</t>
  </si>
  <si>
    <t>Expedia Group Inc.</t>
  </si>
  <si>
    <t>Leidos Holdings Inc.</t>
  </si>
  <si>
    <t>Textron Inc.</t>
  </si>
  <si>
    <t>APA Corp.</t>
  </si>
  <si>
    <t>J.B. Hunt Transport Services Inc.</t>
  </si>
  <si>
    <t>Skyworks Solutions Inc.</t>
  </si>
  <si>
    <t>Akamai Technologies Inc.</t>
  </si>
  <si>
    <t>(-0.90%)</t>
  </si>
  <si>
    <t>Incyte Corporation</t>
  </si>
  <si>
    <t>Las Vegas Sands Corp.</t>
  </si>
  <si>
    <t>Trimble Inc.</t>
  </si>
  <si>
    <t>Hormel Foods Corporation</t>
  </si>
  <si>
    <t>Teradyne Inc.</t>
  </si>
  <si>
    <t>FLEETCOR Technologies Inc.</t>
  </si>
  <si>
    <t>LKQ Corporation</t>
  </si>
  <si>
    <t>Zebra Technologies Corporation Class A</t>
  </si>
  <si>
    <t>Alliant Energy Corp</t>
  </si>
  <si>
    <t>Garmin Ltd.</t>
  </si>
  <si>
    <t>(0.09%)</t>
  </si>
  <si>
    <t>Align Technology Inc.</t>
  </si>
  <si>
    <t>Jack Henry &amp; Associates Inc.</t>
  </si>
  <si>
    <t>NVR Inc.</t>
  </si>
  <si>
    <t>Domino's Pizza Inc.</t>
  </si>
  <si>
    <t>United Airlines Holdings Inc.</t>
  </si>
  <si>
    <t>Howmet Aerospace Inc.</t>
  </si>
  <si>
    <t>Essex Property Trust Inc.</t>
  </si>
  <si>
    <t>(0.65%)</t>
  </si>
  <si>
    <t>Kimco Realty Corporation</t>
  </si>
  <si>
    <t>Brown &amp; Brown Inc.</t>
  </si>
  <si>
    <t>Match Group Inc.</t>
  </si>
  <si>
    <t>Evergy Inc.</t>
  </si>
  <si>
    <t>Gen Digital Inc.</t>
  </si>
  <si>
    <t>Healthpeak Properties Inc.</t>
  </si>
  <si>
    <t>Tyler Technologies Inc.</t>
  </si>
  <si>
    <t>Viatris Inc.</t>
  </si>
  <si>
    <t>Interpublic Group of Companies Inc.</t>
  </si>
  <si>
    <t>Cboe Global Markets Inc</t>
  </si>
  <si>
    <t>Brown-Forman Corporation Class B</t>
  </si>
  <si>
    <t>Everest Re Group Ltd.</t>
  </si>
  <si>
    <t>International Paper Company</t>
  </si>
  <si>
    <t>PTC Inc.</t>
  </si>
  <si>
    <t>Host Hotels &amp; Resorts Inc.</t>
  </si>
  <si>
    <t>Snap-on Incorporated</t>
  </si>
  <si>
    <t>Bio-Techne Corporation</t>
  </si>
  <si>
    <t>Royal Caribbean Group</t>
  </si>
  <si>
    <t>SVB Financial Group</t>
  </si>
  <si>
    <t>Pool Corporation</t>
  </si>
  <si>
    <t>Nordson Corporation</t>
  </si>
  <si>
    <t>Lamb Weston Holdings Inc.</t>
  </si>
  <si>
    <t>Packaging Corporation of America</t>
  </si>
  <si>
    <t>Camden Property Trust</t>
  </si>
  <si>
    <t>C.H. Robinson Worldwide Inc.</t>
  </si>
  <si>
    <t>UDR Inc.</t>
  </si>
  <si>
    <t>Charles River Laboratories International Inc.</t>
  </si>
  <si>
    <t>Stanley Black &amp; Decker Inc.</t>
  </si>
  <si>
    <t>MGM Resorts International</t>
  </si>
  <si>
    <t>Western Digital Corporation</t>
  </si>
  <si>
    <t>Masco Corporation</t>
  </si>
  <si>
    <t>Henry Schein Inc.</t>
  </si>
  <si>
    <t>Loews Corporation</t>
  </si>
  <si>
    <t>NiSource Inc</t>
  </si>
  <si>
    <t>(-0.44%)</t>
  </si>
  <si>
    <t>Campbell Soup Company</t>
  </si>
  <si>
    <t>CarMax Inc.</t>
  </si>
  <si>
    <t>Globe Life Inc.</t>
  </si>
  <si>
    <t>Teleflex Incorporated</t>
  </si>
  <si>
    <t>V.F. Corporation</t>
  </si>
  <si>
    <t>Eastman Chemical Company</t>
  </si>
  <si>
    <t>Caesars Entertainment Inc</t>
  </si>
  <si>
    <t>Molson Coors Beverage Company Class B</t>
  </si>
  <si>
    <t>Juniper Networks Inc.</t>
  </si>
  <si>
    <t>Seagate Technology Holdings PLC</t>
  </si>
  <si>
    <t>PulteGroup Inc.</t>
  </si>
  <si>
    <t>Celanese Corporation</t>
  </si>
  <si>
    <t>Allegion Public Limited Company</t>
  </si>
  <si>
    <t>Ceridian HCM Holding Inc.</t>
  </si>
  <si>
    <t>BorgWarner Inc.</t>
  </si>
  <si>
    <t>Boston Properties Inc.</t>
  </si>
  <si>
    <t>Live Nation Entertainment Inc.</t>
  </si>
  <si>
    <t>Regency Centers Corporation</t>
  </si>
  <si>
    <t>NRG Energy Inc.</t>
  </si>
  <si>
    <t>Qorvo Inc.</t>
  </si>
  <si>
    <t>Paramount Global Class B</t>
  </si>
  <si>
    <t>MarketAxess Holdings Inc.</t>
  </si>
  <si>
    <t>Fox Corporation Class A</t>
  </si>
  <si>
    <t>Comerica Incorporated</t>
  </si>
  <si>
    <t>WestRock Company</t>
  </si>
  <si>
    <t>Tapestry Inc.</t>
  </si>
  <si>
    <t>Bath &amp; Body Works Inc.</t>
  </si>
  <si>
    <t>Advance Auto Parts Inc.</t>
  </si>
  <si>
    <t>Huntington Ingalls Industries Inc.</t>
  </si>
  <si>
    <t>Carnival Corporation</t>
  </si>
  <si>
    <t>F5 Inc.</t>
  </si>
  <si>
    <t>American Airlines Group Inc.</t>
  </si>
  <si>
    <t>Rollins Inc.</t>
  </si>
  <si>
    <t>Universal Health Services Inc. Class B</t>
  </si>
  <si>
    <t>Pinnacle West Capital Corporation</t>
  </si>
  <si>
    <t>Invesco Ltd.</t>
  </si>
  <si>
    <t>Bio-Rad Laboratories Inc. Class A</t>
  </si>
  <si>
    <t>Signature Bank</t>
  </si>
  <si>
    <t>Robert Half International Inc.</t>
  </si>
  <si>
    <t>Catalent Inc</t>
  </si>
  <si>
    <t>Wynn Resorts Limited</t>
  </si>
  <si>
    <t>Hasbro Inc.</t>
  </si>
  <si>
    <t>Whirlpool Corporation</t>
  </si>
  <si>
    <t>A. O. Smith Corporation</t>
  </si>
  <si>
    <t>Sealed Air Corporation</t>
  </si>
  <si>
    <t>Zions Bancorporation N.A.</t>
  </si>
  <si>
    <t>Federal Realty Investment Trust</t>
  </si>
  <si>
    <t>Pentair plc</t>
  </si>
  <si>
    <t>Franklin Resources Inc.</t>
  </si>
  <si>
    <t>News Corporation Class A</t>
  </si>
  <si>
    <t>Assurant Inc.</t>
  </si>
  <si>
    <t>DXC Technology Co.</t>
  </si>
  <si>
    <t>Norwegian Cruise Line Holdings Ltd.</t>
  </si>
  <si>
    <t>DENTSPLY SIRONA Inc.</t>
  </si>
  <si>
    <t>Generac Holdings Inc.</t>
  </si>
  <si>
    <t>Organon &amp; Co.</t>
  </si>
  <si>
    <t>Lincoln National Corp</t>
  </si>
  <si>
    <t>Alaska Air Group Inc.</t>
  </si>
  <si>
    <t>Mohawk Industries Inc.</t>
  </si>
  <si>
    <t>Lumen Technologies Inc.</t>
  </si>
  <si>
    <t>Newell Brands Inc</t>
  </si>
  <si>
    <t>Ralph Lauren Corporation Class A</t>
  </si>
  <si>
    <t>Fox Corporation Class B</t>
  </si>
  <si>
    <t>DaVita Inc.</t>
  </si>
  <si>
    <t>Vornado Realty Trust</t>
  </si>
  <si>
    <t>DISH Network Corporation Class A</t>
  </si>
  <si>
    <t>News Corporation Class B</t>
  </si>
  <si>
    <t>S&amp;P 500 Companies by Weight</t>
  </si>
  <si>
    <t>Industry</t>
  </si>
  <si>
    <t>P/E</t>
  </si>
  <si>
    <t>Market cap</t>
  </si>
  <si>
    <t xml:space="preserve">Click Icon to left of Ticker to view live updates </t>
  </si>
  <si>
    <t>Grand Total</t>
  </si>
  <si>
    <t>Aerospace &amp; Defense</t>
  </si>
  <si>
    <t>Automobiles &amp; Auto Parts</t>
  </si>
  <si>
    <t>Banking Services</t>
  </si>
  <si>
    <t>Beverages</t>
  </si>
  <si>
    <t>Biotechnology &amp; Medical Research</t>
  </si>
  <si>
    <t>Chemicals</t>
  </si>
  <si>
    <t>Communications &amp; Networking</t>
  </si>
  <si>
    <t>Computers, Phones &amp; Household Electronics</t>
  </si>
  <si>
    <t>Construction &amp; Engineering</t>
  </si>
  <si>
    <t>Construction Materials</t>
  </si>
  <si>
    <t>Consumer Goods Conglomerates</t>
  </si>
  <si>
    <t>Containers &amp; Packaging</t>
  </si>
  <si>
    <t>Diversified Retail</t>
  </si>
  <si>
    <t>Electrical Utilities &amp; IPPs</t>
  </si>
  <si>
    <t>Electronic Equipment &amp; Parts</t>
  </si>
  <si>
    <t>Financial Technology (Fintech) &amp; Infrastructure</t>
  </si>
  <si>
    <t>Food &amp; Drug Retailing</t>
  </si>
  <si>
    <t>Food &amp; Tobacco</t>
  </si>
  <si>
    <t>Freight &amp; Logistics Services</t>
  </si>
  <si>
    <t>Healthcare Equipment &amp; Supplies</t>
  </si>
  <si>
    <t>Healthcare Providers &amp; Services</t>
  </si>
  <si>
    <t>Homebuilding &amp; Construction Supplies</t>
  </si>
  <si>
    <t>Hotels &amp; Entertainment Services</t>
  </si>
  <si>
    <t>Household Goods</t>
  </si>
  <si>
    <t>Insurance</t>
  </si>
  <si>
    <t>Investment Banking &amp; Investment Services</t>
  </si>
  <si>
    <t>Leisure Products</t>
  </si>
  <si>
    <t>Machinery, Equipment &amp; Components</t>
  </si>
  <si>
    <t>Media &amp; Publishing</t>
  </si>
  <si>
    <t>Metals &amp; Mining</t>
  </si>
  <si>
    <t>Multiline Utilities</t>
  </si>
  <si>
    <t>Natural Gas Utilities</t>
  </si>
  <si>
    <t>Office Equipment</t>
  </si>
  <si>
    <t>Oil &amp; Gas</t>
  </si>
  <si>
    <t>Oil &amp; Gas Related Equipment and Services</t>
  </si>
  <si>
    <t>Passenger Transportation Services</t>
  </si>
  <si>
    <t>Personal &amp; Household Products &amp; Services</t>
  </si>
  <si>
    <t>Pharmaceuticals</t>
  </si>
  <si>
    <t>Professional &amp; Commercial Services</t>
  </si>
  <si>
    <t>Real Estate Operations</t>
  </si>
  <si>
    <t>Renewable Energy</t>
  </si>
  <si>
    <t>Residential &amp; Commercial REIT</t>
  </si>
  <si>
    <t>Semiconductors &amp; Semiconductor Equipment</t>
  </si>
  <si>
    <t>Software &amp; IT Services</t>
  </si>
  <si>
    <t>Specialty Retailers</t>
  </si>
  <si>
    <t>Telecommunications Services</t>
  </si>
  <si>
    <t>Textiles &amp; Apparel</t>
  </si>
  <si>
    <t>Water Utilities</t>
  </si>
  <si>
    <t>Total</t>
  </si>
  <si>
    <t>Industy</t>
  </si>
  <si>
    <t xml:space="preserve">Total Weight </t>
  </si>
  <si>
    <t>Symbol</t>
  </si>
  <si>
    <t>(-0.40%)</t>
  </si>
  <si>
    <t>(-0.71%)</t>
  </si>
  <si>
    <t>(0.38%)</t>
  </si>
  <si>
    <t>First Solar Inc.</t>
  </si>
  <si>
    <t>MasterBrand Inc</t>
  </si>
  <si>
    <t>(-0.69%)</t>
  </si>
  <si>
    <t>(-1.07%)</t>
  </si>
  <si>
    <t>Sum of Top 5 Industries represented in the S&amp;P 500 by Weight</t>
  </si>
  <si>
    <t>Sum of the 5 Industries Least represented in the S&amp;P 500 by Weight</t>
  </si>
  <si>
    <t>(0.47%)</t>
  </si>
  <si>
    <t>(-0.35%)</t>
  </si>
  <si>
    <t>(-0.10%)</t>
  </si>
  <si>
    <t>(-0.51%)</t>
  </si>
  <si>
    <t>(-1.18%)</t>
  </si>
  <si>
    <t>(-1.37%)</t>
  </si>
  <si>
    <t>(-0.98%)</t>
  </si>
  <si>
    <t>(0.66%)</t>
  </si>
  <si>
    <t>(-1.50%)</t>
  </si>
  <si>
    <t>(-1.88%)</t>
  </si>
  <si>
    <t>(-2.00%)</t>
  </si>
  <si>
    <t>Click to Update to Current Market Data</t>
  </si>
  <si>
    <t>(-1.44%)</t>
  </si>
  <si>
    <t>(-0.95%)</t>
  </si>
  <si>
    <t>(0.98%)</t>
  </si>
  <si>
    <t>(-1.05%)</t>
  </si>
  <si>
    <t>(-1.74%)</t>
  </si>
  <si>
    <t>(-0.49%)</t>
  </si>
  <si>
    <t>(-0.12%)</t>
  </si>
  <si>
    <t>(-0.38%)</t>
  </si>
  <si>
    <t>(-0.53%)</t>
  </si>
  <si>
    <t>(-1.62%)</t>
  </si>
  <si>
    <t>(-1.28%)</t>
  </si>
  <si>
    <t>(-1.26%)</t>
  </si>
  <si>
    <t>(-0.73%)</t>
  </si>
  <si>
    <t>(-0.99%)</t>
  </si>
  <si>
    <t>(-1.36%)</t>
  </si>
  <si>
    <t>(-1.59%)</t>
  </si>
  <si>
    <t>(-0.79%)</t>
  </si>
  <si>
    <t>(-2.15%)</t>
  </si>
  <si>
    <t>(-1.06%)</t>
  </si>
  <si>
    <t>(-0.66%)</t>
  </si>
  <si>
    <t>(-0.96%)</t>
  </si>
  <si>
    <t>(-1.38%)</t>
  </si>
  <si>
    <t>(-0.84%)</t>
  </si>
  <si>
    <t>#FIELD!</t>
  </si>
  <si>
    <t>Change in Price</t>
  </si>
  <si>
    <t>(-1.65%)</t>
  </si>
  <si>
    <t>(-1.20%)</t>
  </si>
  <si>
    <t>(-0.74%)</t>
  </si>
  <si>
    <t>(-1.73%)</t>
  </si>
  <si>
    <t>(-1.41%)</t>
  </si>
  <si>
    <t>(-2.29%)</t>
  </si>
  <si>
    <t>(-1.82%)</t>
  </si>
  <si>
    <t>(-2.02%)</t>
  </si>
  <si>
    <t>(-1.86%)</t>
  </si>
  <si>
    <t>(-1.45%)</t>
  </si>
  <si>
    <t>(-1.30%)</t>
  </si>
  <si>
    <t>(-1.48%)</t>
  </si>
  <si>
    <t xml:space="preserve">Top industries weight distribution visual </t>
  </si>
  <si>
    <t>(-1.89%)</t>
  </si>
  <si>
    <t>(-2.32%)</t>
  </si>
  <si>
    <t>(-1.55%)</t>
  </si>
  <si>
    <t>(-1.96%)</t>
  </si>
  <si>
    <t>(-1.63%)</t>
  </si>
  <si>
    <t>Companies</t>
  </si>
  <si>
    <t>(-2.01%)</t>
  </si>
  <si>
    <t>(-1.85%)</t>
  </si>
  <si>
    <t>(Right Click Table and Click Refresh for updates)</t>
  </si>
  <si>
    <t>(-2.76%)</t>
  </si>
  <si>
    <t>(-1.78%)</t>
  </si>
  <si>
    <t>(-2.13%)</t>
  </si>
  <si>
    <t>(-1.98%)</t>
  </si>
  <si>
    <t>(-1.99%)</t>
  </si>
  <si>
    <t>(-1.69%)</t>
  </si>
  <si>
    <t>20 Largest Price Increases</t>
  </si>
  <si>
    <t>20 Largest Price Decreases</t>
  </si>
  <si>
    <t>(-1.92%)</t>
  </si>
  <si>
    <t>(-2.33%)</t>
  </si>
  <si>
    <t>(-3.44%)</t>
  </si>
  <si>
    <t>(-2.41%)</t>
  </si>
  <si>
    <t>(-3.02%)</t>
  </si>
  <si>
    <t>(-2.94%)</t>
  </si>
  <si>
    <t>(-4.21%)</t>
  </si>
  <si>
    <t>(-2.30%)</t>
  </si>
  <si>
    <t>(-1.94%)</t>
  </si>
  <si>
    <t>(-2.06%)</t>
  </si>
  <si>
    <t>(-2.49%)</t>
  </si>
  <si>
    <t>(-2.80%)</t>
  </si>
  <si>
    <t>(-2.75%)</t>
  </si>
  <si>
    <t>(-2.50%)</t>
  </si>
  <si>
    <t>(-2.66%)</t>
  </si>
  <si>
    <t>(-2.35%)</t>
  </si>
  <si>
    <t>(-2.86%)</t>
  </si>
  <si>
    <t>(-3.40%)</t>
  </si>
  <si>
    <t>(-2.92%)</t>
  </si>
  <si>
    <t>(-0.76%)</t>
  </si>
  <si>
    <t>(-2.45%)</t>
  </si>
  <si>
    <t>(-2.57%)</t>
  </si>
  <si>
    <t>(-1.42%)</t>
  </si>
  <si>
    <t>(-2.20%)</t>
  </si>
  <si>
    <t>(-1.79%)</t>
  </si>
  <si>
    <t>(-0.88%)</t>
  </si>
  <si>
    <t>(-1.23%)</t>
  </si>
  <si>
    <t>(-1.17%)</t>
  </si>
  <si>
    <t>(-2.25%)</t>
  </si>
  <si>
    <t>(-0.86%)</t>
  </si>
  <si>
    <t>(-2.59%)</t>
  </si>
  <si>
    <t>(-2.21%)</t>
  </si>
  <si>
    <t>(-1.64%)</t>
  </si>
  <si>
    <t>(-1.72%)</t>
  </si>
  <si>
    <t>(-2.68%)</t>
  </si>
  <si>
    <t>(-3.04%)</t>
  </si>
  <si>
    <t>(-1.00%)</t>
  </si>
  <si>
    <t>(-2.27%)</t>
  </si>
  <si>
    <t>(-1.95%)</t>
  </si>
  <si>
    <t>(-2.18%)</t>
  </si>
  <si>
    <t>(-2.09%)</t>
  </si>
  <si>
    <t>(-2.19%)</t>
  </si>
  <si>
    <t>(-2.64%)</t>
  </si>
  <si>
    <t>(-2.28%)</t>
  </si>
  <si>
    <t>(-3.75%)</t>
  </si>
  <si>
    <t>(-1.80%)</t>
  </si>
  <si>
    <t>(-3.17%)</t>
  </si>
  <si>
    <t>(-1.58%)</t>
  </si>
  <si>
    <t>(-1.53%)</t>
  </si>
  <si>
    <t>(-2.14%)</t>
  </si>
  <si>
    <t>(-1.68%)</t>
  </si>
  <si>
    <t>(-2.42%)</t>
  </si>
  <si>
    <t>(-1.49%)</t>
  </si>
  <si>
    <t>(-1.13%)</t>
  </si>
  <si>
    <t>(-1.84%)</t>
  </si>
  <si>
    <t>(-3.42%)</t>
  </si>
  <si>
    <t>(-2.84%)</t>
  </si>
  <si>
    <t>(-3.37%)</t>
  </si>
  <si>
    <t>(-2.65%)</t>
  </si>
  <si>
    <t>(-1.75%)</t>
  </si>
  <si>
    <t>(-2.07%)</t>
  </si>
  <si>
    <t>(-2.23%)</t>
  </si>
  <si>
    <t>(-3.15%)</t>
  </si>
  <si>
    <t>(-6.21%)</t>
  </si>
  <si>
    <t>(-5.40%)</t>
  </si>
  <si>
    <t>(-1.60%)</t>
  </si>
  <si>
    <t>(-1.61%)</t>
  </si>
  <si>
    <t>(-1.10%)</t>
  </si>
  <si>
    <t>(-2.79%)</t>
  </si>
  <si>
    <t>(-2.71%)</t>
  </si>
  <si>
    <t>(-3.84%)</t>
  </si>
  <si>
    <t>(-2.36%)</t>
  </si>
  <si>
    <t>(-2.93%)</t>
  </si>
  <si>
    <t>(-1.15%)</t>
  </si>
  <si>
    <t>(-2.58%)</t>
  </si>
  <si>
    <t>(-2.89%)</t>
  </si>
  <si>
    <t>(-5.84%)</t>
  </si>
  <si>
    <t>(-1.76%)</t>
  </si>
  <si>
    <t>(-1.77%)</t>
  </si>
  <si>
    <t>(-2.34%)</t>
  </si>
  <si>
    <t>(-2.46%)</t>
  </si>
  <si>
    <t>(-3.06%)</t>
  </si>
  <si>
    <t>(-2.39%)</t>
  </si>
  <si>
    <t>(-1.90%)</t>
  </si>
  <si>
    <t>(-4.17%)</t>
  </si>
  <si>
    <t>(-1.67%)</t>
  </si>
  <si>
    <t>(-3.34%)</t>
  </si>
  <si>
    <t>(-2.95%)</t>
  </si>
  <si>
    <t>(-1.47%)</t>
  </si>
  <si>
    <t>(-3.94%)</t>
  </si>
  <si>
    <t>(-3.63%)</t>
  </si>
  <si>
    <t>(-1.87%)</t>
  </si>
  <si>
    <t>(-1.09%)</t>
  </si>
  <si>
    <t>(-2.63%)</t>
  </si>
  <si>
    <t>(-2.11%)</t>
  </si>
  <si>
    <t>(-1.35%)</t>
  </si>
  <si>
    <t>Steel Dynamics Inc.</t>
  </si>
  <si>
    <t>(-1.81%)</t>
  </si>
  <si>
    <t>(-3.01%)</t>
  </si>
  <si>
    <t>(-2.03%)</t>
  </si>
  <si>
    <t>(-1.33%)</t>
  </si>
  <si>
    <t>(-4.48%)</t>
  </si>
  <si>
    <t>(-2.37%)</t>
  </si>
  <si>
    <t>(-2.70%)</t>
  </si>
  <si>
    <t>(-1.04%)</t>
  </si>
  <si>
    <t>(-2.17%)</t>
  </si>
  <si>
    <t>(-1.70%)</t>
  </si>
  <si>
    <t>(-3.69%)</t>
  </si>
  <si>
    <t>(-1.93%)</t>
  </si>
  <si>
    <t>(-2.04%)</t>
  </si>
  <si>
    <t>(-0.93%)</t>
  </si>
  <si>
    <t>(-5.83%)</t>
  </si>
  <si>
    <t>(-2.78%)</t>
  </si>
  <si>
    <t>(-1.51%)</t>
  </si>
  <si>
    <t>SEE</t>
  </si>
  <si>
    <t>(-3.23%)</t>
  </si>
  <si>
    <t>(-2.54%)</t>
  </si>
  <si>
    <t>(-3.43%)</t>
  </si>
  <si>
    <t>(-3.74%)</t>
  </si>
  <si>
    <t>(-4.54%)</t>
  </si>
  <si>
    <t>(-2.97%)</t>
  </si>
  <si>
    <t>(-2.48%)</t>
  </si>
  <si>
    <t>(-2.62%)</t>
  </si>
  <si>
    <t>(-1.66%)</t>
  </si>
  <si>
    <t>(-2.51%)</t>
  </si>
  <si>
    <t>(-4.13%)</t>
  </si>
  <si>
    <t>(-1.97%)</t>
  </si>
  <si>
    <t>(-4.52%)</t>
  </si>
  <si>
    <t>(-0.82%)</t>
  </si>
  <si>
    <t>(-2.69%)</t>
  </si>
  <si>
    <t>(-3.64%)</t>
  </si>
  <si>
    <t>(-2.88%)</t>
  </si>
  <si>
    <t>(-3.50%)</t>
  </si>
  <si>
    <t>(-1.56%)</t>
  </si>
  <si>
    <t>(-2.74%)</t>
  </si>
  <si>
    <t>(-6.25%)</t>
  </si>
  <si>
    <t>(-3.38%)</t>
  </si>
  <si>
    <t>(-2.40%)</t>
  </si>
  <si>
    <t>(-3.26%)</t>
  </si>
  <si>
    <t>(-1.39%)</t>
  </si>
  <si>
    <t>(-3.08%)</t>
  </si>
  <si>
    <t>(-2.81%)</t>
  </si>
  <si>
    <t>(-3.00%)</t>
  </si>
  <si>
    <t>(-4.46%)</t>
  </si>
  <si>
    <t>(-4.35%)</t>
  </si>
  <si>
    <t>(-4.65%)</t>
  </si>
  <si>
    <t>(-4.99%)</t>
  </si>
  <si>
    <t>(-3.52%)</t>
  </si>
  <si>
    <t>(-3.47%)</t>
  </si>
  <si>
    <t>(-4.82%)</t>
  </si>
  <si>
    <t>(-3.45%)</t>
  </si>
  <si>
    <t>(-1.43%)</t>
  </si>
  <si>
    <t>(-1.29%)</t>
  </si>
  <si>
    <t>(-2.31%)</t>
  </si>
  <si>
    <t>(-6.03%)</t>
  </si>
  <si>
    <t>(-2.72%)</t>
  </si>
  <si>
    <t>(-3.07%)</t>
  </si>
  <si>
    <t>(-3.53%)</t>
  </si>
  <si>
    <t>(-4.93%)</t>
  </si>
  <si>
    <t>(-3.90%)</t>
  </si>
  <si>
    <t>(-3.58%)</t>
  </si>
  <si>
    <t>(-3.91%)</t>
  </si>
  <si>
    <t>(-3.12%)</t>
  </si>
  <si>
    <t>(-3.80%)</t>
  </si>
  <si>
    <t>(-0.50%)</t>
  </si>
  <si>
    <t>(-5.38%)</t>
  </si>
  <si>
    <t>(-0.89%)</t>
  </si>
  <si>
    <t>(-2.38%)</t>
  </si>
  <si>
    <t>(-3.88%)</t>
  </si>
  <si>
    <t>(-3.09%)</t>
  </si>
  <si>
    <t>(-5.95%)</t>
  </si>
  <si>
    <t>(-2.83%)</t>
  </si>
  <si>
    <t>(-4.06%)</t>
  </si>
  <si>
    <t>(-4.81%)</t>
  </si>
  <si>
    <t>(-2.82%)</t>
  </si>
  <si>
    <t>(-9.39%)</t>
  </si>
  <si>
    <t>(-4.74%)</t>
  </si>
  <si>
    <t>(-5.53%)</t>
  </si>
  <si>
    <t>(1.68%)</t>
  </si>
  <si>
    <t>(-3.95%)</t>
  </si>
  <si>
    <t>(-3.72%)</t>
  </si>
  <si>
    <t>(-7.14%)</t>
  </si>
  <si>
    <t>(-7.17%)</t>
  </si>
  <si>
    <t>(-0.94%)</t>
  </si>
  <si>
    <t>(-3.36%)</t>
  </si>
  <si>
    <t>(-4.80%)</t>
  </si>
  <si>
    <t>(-4.44%)</t>
  </si>
  <si>
    <t>(-4.62%)</t>
  </si>
  <si>
    <t>(-3.13%)</t>
  </si>
  <si>
    <t>(-3.16%)</t>
  </si>
  <si>
    <t>(-6.02%)</t>
  </si>
  <si>
    <t>(-9.78%)</t>
  </si>
  <si>
    <t>(-4.23%)</t>
  </si>
  <si>
    <t>(-7.69%)</t>
  </si>
  <si>
    <t>(-9.17%)</t>
  </si>
  <si>
    <t>(-11.25%)</t>
  </si>
  <si>
    <t>(-7.27%)</t>
  </si>
  <si>
    <t>(-5.16%)</t>
  </si>
  <si>
    <t>(-6.46%)</t>
  </si>
  <si>
    <t>(-5.46%)</t>
  </si>
  <si>
    <t>(-6.56%)</t>
  </si>
  <si>
    <t>(-3.92%)</t>
  </si>
  <si>
    <t>(-4.00%)</t>
  </si>
  <si>
    <t>(-3.57%)</t>
  </si>
  <si>
    <t>(-4.84%)</t>
  </si>
  <si>
    <t>(-3.14%)</t>
  </si>
  <si>
    <t>(-6.55%)</t>
  </si>
  <si>
    <t>(-4.49%)</t>
  </si>
  <si>
    <t>(-4.55%)</t>
  </si>
  <si>
    <t>(-4.10%)</t>
  </si>
  <si>
    <t>(-5.08%)</t>
  </si>
  <si>
    <t>(-5.17%)</t>
  </si>
  <si>
    <t>(-6.69%)</t>
  </si>
  <si>
    <t>(-8.35%)</t>
  </si>
  <si>
    <t>(-9.35%)</t>
  </si>
  <si>
    <t>(-6.87%)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</si>
</sst>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_([$$-409]* #,##0_);_([$$-409]* \(#,##0\);_([$$-409]* &quot;-&quot;_);_(@_)"/>
    <numFmt numFmtId="165" formatCode="0.000"/>
  </numFmts>
  <fonts count="11" x14ac:knownFonts="1">
    <font>
      <sz val="11"/>
      <color theme="1"/>
      <name val="Calibri"/>
      <family val="2"/>
      <scheme val="minor"/>
    </font>
    <font>
      <sz val="16"/>
      <color theme="0"/>
      <name val="Calibri"/>
      <family val="2"/>
      <scheme val="minor"/>
    </font>
    <font>
      <sz val="20"/>
      <color theme="0"/>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2"/>
      <color theme="0"/>
      <name val="Calibri"/>
      <family val="2"/>
      <scheme val="minor"/>
    </font>
    <font>
      <sz val="9"/>
      <color theme="0"/>
      <name val="Segoe UI"/>
      <family val="2"/>
    </font>
    <font>
      <sz val="8"/>
      <name val="Calibri"/>
      <family val="2"/>
      <scheme val="minor"/>
    </font>
    <font>
      <sz val="14"/>
      <color theme="0"/>
      <name val="Calibri"/>
      <family val="2"/>
      <scheme val="minor"/>
    </font>
    <font>
      <sz val="11"/>
      <name val="Calibri"/>
      <family val="2"/>
      <scheme val="minor"/>
    </font>
  </fonts>
  <fills count="8">
    <fill>
      <patternFill patternType="none"/>
    </fill>
    <fill>
      <patternFill patternType="gray125"/>
    </fill>
    <fill>
      <patternFill patternType="solid">
        <fgColor theme="4" tint="-0.249977111117893"/>
        <bgColor indexed="64"/>
      </patternFill>
    </fill>
    <fill>
      <patternFill patternType="solid">
        <fgColor theme="9" tint="-0.249977111117893"/>
        <bgColor indexed="64"/>
      </patternFill>
    </fill>
    <fill>
      <patternFill patternType="solid">
        <fgColor theme="2" tint="-9.9978637043366805E-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3" tint="0.59999389629810485"/>
        <bgColor indexed="64"/>
      </patternFill>
    </fill>
  </fills>
  <borders count="3">
    <border>
      <left/>
      <right/>
      <top/>
      <bottom/>
      <diagonal/>
    </border>
    <border>
      <left/>
      <right/>
      <top/>
      <bottom style="double">
        <color indexed="64"/>
      </bottom>
      <diagonal/>
    </border>
    <border>
      <left/>
      <right style="thin">
        <color indexed="64"/>
      </right>
      <top style="double">
        <color indexed="64"/>
      </top>
      <bottom/>
      <diagonal/>
    </border>
  </borders>
  <cellStyleXfs count="2">
    <xf numFmtId="0" fontId="0" fillId="0" borderId="0"/>
    <xf numFmtId="9" fontId="3" fillId="0" borderId="0" applyFont="0" applyFill="0" applyBorder="0" applyAlignment="0" applyProtection="0"/>
  </cellStyleXfs>
  <cellXfs count="37">
    <xf numFmtId="0" fontId="0" fillId="0" borderId="0" xfId="0"/>
    <xf numFmtId="164" fontId="0" fillId="0" borderId="0" xfId="0" applyNumberFormat="1"/>
    <xf numFmtId="2" fontId="0" fillId="0" borderId="0" xfId="0" applyNumberFormat="1"/>
    <xf numFmtId="0" fontId="1" fillId="2" borderId="0" xfId="0" applyFont="1" applyFill="1" applyAlignment="1">
      <alignment horizontal="center"/>
    </xf>
    <xf numFmtId="0" fontId="0" fillId="0" borderId="0" xfId="0" applyAlignment="1">
      <alignment horizontal="left"/>
    </xf>
    <xf numFmtId="0" fontId="0" fillId="0" borderId="0" xfId="0" applyAlignment="1">
      <alignment horizontal="right"/>
    </xf>
    <xf numFmtId="0" fontId="0" fillId="0" borderId="1" xfId="0" applyBorder="1" applyAlignment="1">
      <alignment horizontal="left"/>
    </xf>
    <xf numFmtId="0" fontId="0" fillId="0" borderId="0" xfId="0" pivotButton="1" applyAlignment="1">
      <alignment horizontal="center"/>
    </xf>
    <xf numFmtId="0" fontId="0" fillId="0" borderId="0" xfId="0" applyAlignment="1">
      <alignment horizontal="center"/>
    </xf>
    <xf numFmtId="4" fontId="0" fillId="0" borderId="0" xfId="0" applyNumberFormat="1" applyAlignment="1">
      <alignment horizontal="center"/>
    </xf>
    <xf numFmtId="0" fontId="7" fillId="2" borderId="0" xfId="0" applyFont="1" applyFill="1" applyAlignment="1">
      <alignment vertical="center"/>
    </xf>
    <xf numFmtId="44" fontId="0" fillId="0" borderId="0" xfId="0" applyNumberFormat="1" applyAlignment="1">
      <alignment horizontal="center"/>
    </xf>
    <xf numFmtId="9" fontId="0" fillId="0" borderId="0" xfId="0" applyNumberFormat="1"/>
    <xf numFmtId="10" fontId="0" fillId="0" borderId="0" xfId="1" applyNumberFormat="1" applyFont="1" applyAlignment="1">
      <alignment horizontal="center"/>
    </xf>
    <xf numFmtId="0" fontId="5" fillId="3" borderId="0" xfId="0" applyFont="1" applyFill="1" applyAlignment="1">
      <alignment horizontal="centerContinuous"/>
    </xf>
    <xf numFmtId="0" fontId="4" fillId="0" borderId="0" xfId="0" applyFont="1"/>
    <xf numFmtId="0" fontId="6" fillId="0" borderId="0" xfId="0" applyFont="1" applyAlignment="1">
      <alignment horizontal="centerContinuous"/>
    </xf>
    <xf numFmtId="0" fontId="6" fillId="0" borderId="0" xfId="0" applyFont="1" applyAlignment="1">
      <alignment horizontal="left"/>
    </xf>
    <xf numFmtId="0" fontId="9" fillId="2" borderId="0" xfId="0" applyFont="1" applyFill="1" applyAlignment="1">
      <alignment horizontal="centerContinuous"/>
    </xf>
    <xf numFmtId="0" fontId="0" fillId="4" borderId="0" xfId="0" applyFill="1" applyAlignment="1">
      <alignment horizontal="left"/>
    </xf>
    <xf numFmtId="165" fontId="0" fillId="0" borderId="0" xfId="0" applyNumberFormat="1" applyAlignment="1">
      <alignment horizontal="center"/>
    </xf>
    <xf numFmtId="165" fontId="0" fillId="4" borderId="0" xfId="0" applyNumberFormat="1" applyFill="1" applyAlignment="1">
      <alignment horizontal="center"/>
    </xf>
    <xf numFmtId="165" fontId="0" fillId="0" borderId="1" xfId="0" applyNumberFormat="1" applyBorder="1" applyAlignment="1">
      <alignment horizontal="center"/>
    </xf>
    <xf numFmtId="0" fontId="4" fillId="0" borderId="2" xfId="0" applyFont="1" applyBorder="1" applyAlignment="1">
      <alignment horizontal="right"/>
    </xf>
    <xf numFmtId="0" fontId="0" fillId="5" borderId="0" xfId="0" applyFill="1" applyAlignment="1">
      <alignment horizontal="centerContinuous"/>
    </xf>
    <xf numFmtId="0" fontId="10" fillId="5" borderId="0" xfId="0" applyFont="1" applyFill="1" applyAlignment="1">
      <alignment horizontal="centerContinuous"/>
    </xf>
    <xf numFmtId="0" fontId="0" fillId="0" borderId="0" xfId="0" pivotButton="1"/>
    <xf numFmtId="44" fontId="0" fillId="0" borderId="0" xfId="0" applyNumberFormat="1"/>
    <xf numFmtId="0" fontId="0" fillId="6" borderId="0" xfId="0" applyFill="1" applyAlignment="1">
      <alignment horizontal="centerContinuous"/>
    </xf>
    <xf numFmtId="0" fontId="0" fillId="7" borderId="0" xfId="0" applyFill="1" applyAlignment="1">
      <alignment horizontal="left"/>
    </xf>
    <xf numFmtId="44" fontId="0" fillId="7" borderId="0" xfId="0" applyNumberFormat="1" applyFill="1" applyAlignment="1">
      <alignment horizontal="center"/>
    </xf>
    <xf numFmtId="0" fontId="0" fillId="7" borderId="0" xfId="0" applyFill="1"/>
    <xf numFmtId="44" fontId="0" fillId="7" borderId="0" xfId="0" applyNumberFormat="1" applyFill="1"/>
    <xf numFmtId="0" fontId="0" fillId="7" borderId="0" xfId="0" applyFill="1" applyAlignment="1">
      <alignment horizontal="centerContinuous"/>
    </xf>
    <xf numFmtId="0" fontId="2" fillId="2" borderId="0" xfId="0" applyFont="1" applyFill="1" applyAlignment="1">
      <alignment horizontal="center"/>
    </xf>
    <xf numFmtId="0" fontId="0" fillId="6" borderId="0" xfId="0" applyFill="1" applyAlignment="1">
      <alignment horizontal="center"/>
    </xf>
    <xf numFmtId="0" fontId="9" fillId="2" borderId="0" xfId="0" applyFont="1" applyFill="1" applyAlignment="1">
      <alignment horizontal="center" vertical="center"/>
    </xf>
  </cellXfs>
  <cellStyles count="2">
    <cellStyle name="Normal" xfId="0" builtinId="0"/>
    <cellStyle name="Percent" xfId="1" builtinId="5"/>
  </cellStyles>
  <dxfs count="18">
    <dxf>
      <numFmt numFmtId="164" formatCode="_([$$-409]* #,##0_);_([$$-409]* \(#,##0\);_([$$-409]* &quot;-&quot;_);_(@_)"/>
    </dxf>
    <dxf>
      <numFmt numFmtId="4" formatCode="#,##0.00"/>
      <alignment horizontal="center" vertical="bottom" textRotation="0" wrapText="0" indent="0" justifyLastLine="0" shrinkToFit="0" readingOrder="0"/>
    </dxf>
    <dxf>
      <numFmt numFmtId="14" formatCode="0.00%"/>
      <alignment horizontal="center" vertical="bottom" textRotation="0" wrapText="0" indent="0" justifyLastLine="0" shrinkToFit="0" readingOrder="0"/>
    </dxf>
    <dxf>
      <numFmt numFmtId="34" formatCode="_(&quot;$&quot;* #,##0.00_);_(&quot;$&quot;* \(#,##0.00\);_(&quot;$&quot;* &quot;-&quot;??_);_(@_)"/>
      <alignment horizontal="center" vertical="bottom" textRotation="0" wrapText="0" indent="0" justifyLastLine="0" shrinkToFit="0" readingOrder="0"/>
    </dxf>
    <dxf>
      <numFmt numFmtId="34" formatCode="_(&quot;$&quot;* #,##0.00_);_(&quot;$&quot;* \(#,##0.00\);_(&quot;$&quot;* &quot;-&quot;??_);_(@_)"/>
      <alignment horizontal="center" vertical="bottom" textRotation="0" wrapText="0" indent="0" justifyLastLine="0" shrinkToFit="0" readingOrder="0"/>
    </dxf>
    <dxf>
      <alignment horizontal="center" vertical="bottom" textRotation="0" wrapText="0" indent="0" justifyLastLine="0" shrinkToFit="0" readingOrder="0"/>
    </dxf>
    <dxf>
      <font>
        <color rgb="FF9C0006"/>
      </font>
    </dxf>
    <dxf>
      <font>
        <color rgb="FF9C0006"/>
      </font>
      <fill>
        <patternFill>
          <bgColor rgb="FFFFC7CE"/>
        </patternFill>
      </fill>
    </dxf>
    <dxf>
      <font>
        <color rgb="FF9C0006"/>
      </font>
    </dxf>
    <dxf>
      <numFmt numFmtId="34" formatCode="_(&quot;$&quot;* #,##0.00_);_(&quot;$&quot;* \(#,##0.00\);_(&quot;$&quot;* &quot;-&quot;??_);_(@_)"/>
    </dxf>
    <dxf>
      <numFmt numFmtId="34" formatCode="_(&quot;$&quot;* #,##0.00_);_(&quot;$&quot;* \(#,##0.00\);_(&quot;$&quot;* &quot;-&quot;??_);_(@_)"/>
    </dxf>
    <dxf>
      <alignment horizontal="center"/>
    </dxf>
    <dxf>
      <alignment horizontal="center"/>
    </dxf>
    <dxf>
      <alignment horizontal="center"/>
    </dxf>
    <dxf>
      <alignment horizontal="right"/>
    </dxf>
    <dxf>
      <numFmt numFmtId="0" formatCode="General"/>
    </dxf>
    <dxf>
      <numFmt numFmtId="0" formatCode="General"/>
    </dxf>
    <dxf>
      <numFmt numFmtId="0" formatCode="General"/>
    </dxf>
  </dxfs>
  <tableStyles count="0" defaultTableStyle="TableStyleMedium2" defaultPivotStyle="PivotStyleLight16"/>
  <colors>
    <mruColors>
      <color rgb="FFD75B5B"/>
      <color rgb="FFC5E0B4"/>
      <color rgb="FFD45E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ichStyles" Target="richData/richStyle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onnections" Target="connections.xml"/><Relationship Id="rId12" Type="http://schemas.microsoft.com/office/2017/06/relationships/rdRichValueStructure" Target="richData/rdrichvaluestructure.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17/06/relationships/rdRichValue" Target="richData/rdrichvalue.xml"/><Relationship Id="rId5" Type="http://schemas.openxmlformats.org/officeDocument/2006/relationships/pivotCacheDefinition" Target="pivotCache/pivotCacheDefinition2.xml"/><Relationship Id="rId15" Type="http://schemas.microsoft.com/office/2017/06/relationships/rdSupportingPropertyBag" Target="richData/rdsupportingpropertybag.xml"/><Relationship Id="rId10" Type="http://schemas.openxmlformats.org/officeDocument/2006/relationships/sheetMetadata" Target="metadata.xml"/><Relationship Id="rId19"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microsoft.com/office/2017/06/relationships/rdSupportingPropertyBagStructure" Target="richData/rdsupportingpropertybagstructure.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[S&amp;P500LiveTracker.xlsm]Industry analysis!PivotTable1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Weight</a:t>
            </a:r>
            <a:r>
              <a:rPr lang="en-US" baseline="0"/>
              <a:t> of Industry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pivotFmt>
    </c:pivotFmts>
    <c:plotArea>
      <c:layout/>
      <c:pieChart>
        <c:varyColors val="1"/>
        <c:ser>
          <c:idx val="0"/>
          <c:order val="0"/>
          <c:tx>
            <c:strRef>
              <c:f>'Industry analysis'!$B$2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F65-41FD-96AB-E42BA0A4A1D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F65-41FD-96AB-E42BA0A4A1D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F65-41FD-96AB-E42BA0A4A1D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F65-41FD-96AB-E42BA0A4A1D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3F65-41FD-96AB-E42BA0A4A1D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3F65-41FD-96AB-E42BA0A4A1D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3F65-41FD-96AB-E42BA0A4A1D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3F65-41FD-96AB-E42BA0A4A1D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3F65-41FD-96AB-E42BA0A4A1D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3F65-41FD-96AB-E42BA0A4A1D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3F65-41FD-96AB-E42BA0A4A1D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3F65-41FD-96AB-E42BA0A4A1D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3F65-41FD-96AB-E42BA0A4A1D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3F65-41FD-96AB-E42BA0A4A1D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3F65-41FD-96AB-E42BA0A4A1D8}"/>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3F65-41FD-96AB-E42BA0A4A1D8}"/>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3F65-41FD-96AB-E42BA0A4A1D8}"/>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3F65-41FD-96AB-E42BA0A4A1D8}"/>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3F65-41FD-96AB-E42BA0A4A1D8}"/>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3F65-41FD-96AB-E42BA0A4A1D8}"/>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3F65-41FD-96AB-E42BA0A4A1D8}"/>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3F65-41FD-96AB-E42BA0A4A1D8}"/>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3F65-41FD-96AB-E42BA0A4A1D8}"/>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3F65-41FD-96AB-E42BA0A4A1D8}"/>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3F65-41FD-96AB-E42BA0A4A1D8}"/>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3F65-41FD-96AB-E42BA0A4A1D8}"/>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3F65-41FD-96AB-E42BA0A4A1D8}"/>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3F65-41FD-96AB-E42BA0A4A1D8}"/>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3F65-41FD-96AB-E42BA0A4A1D8}"/>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3F65-41FD-96AB-E42BA0A4A1D8}"/>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3D-3F65-41FD-96AB-E42BA0A4A1D8}"/>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3F-3F65-41FD-96AB-E42BA0A4A1D8}"/>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1-3F65-41FD-96AB-E42BA0A4A1D8}"/>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3-3F65-41FD-96AB-E42BA0A4A1D8}"/>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5-3F65-41FD-96AB-E42BA0A4A1D8}"/>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7-3F65-41FD-96AB-E42BA0A4A1D8}"/>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9-3F65-41FD-96AB-E42BA0A4A1D8}"/>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B-3F65-41FD-96AB-E42BA0A4A1D8}"/>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4D-3F65-41FD-96AB-E42BA0A4A1D8}"/>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4F-3F65-41FD-96AB-E42BA0A4A1D8}"/>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1-3F65-41FD-96AB-E42BA0A4A1D8}"/>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3-3F65-41FD-96AB-E42BA0A4A1D8}"/>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5-3F65-41FD-96AB-E42BA0A4A1D8}"/>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7-3F65-41FD-96AB-E42BA0A4A1D8}"/>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9-3F65-41FD-96AB-E42BA0A4A1D8}"/>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B-3F65-41FD-96AB-E42BA0A4A1D8}"/>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5D-3F65-41FD-96AB-E42BA0A4A1D8}"/>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5F-3F65-41FD-96AB-E42BA0A4A1D8}"/>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1-725B-40D9-86C9-1F454A184AA7}"/>
              </c:ext>
            </c:extLst>
          </c:dPt>
          <c:cat>
            <c:strRef>
              <c:f>'Industry analysis'!$A$3:$A$52</c:f>
              <c:strCache>
                <c:ptCount val="49"/>
                <c:pt idx="0">
                  <c:v>Software &amp; IT Services</c:v>
                </c:pt>
                <c:pt idx="1">
                  <c:v>Pharmaceuticals</c:v>
                </c:pt>
                <c:pt idx="2">
                  <c:v>Computers, Phones &amp; Household Electronics</c:v>
                </c:pt>
                <c:pt idx="3">
                  <c:v>Semiconductors &amp; Semiconductor Equipment</c:v>
                </c:pt>
                <c:pt idx="4">
                  <c:v>Healthcare Equipment &amp; Supplies</c:v>
                </c:pt>
                <c:pt idx="5">
                  <c:v>Oil &amp; Gas</c:v>
                </c:pt>
                <c:pt idx="6">
                  <c:v>Banking Services</c:v>
                </c:pt>
                <c:pt idx="7">
                  <c:v>Diversified Retail</c:v>
                </c:pt>
                <c:pt idx="8">
                  <c:v>Healthcare Providers &amp; Services</c:v>
                </c:pt>
                <c:pt idx="9">
                  <c:v>Machinery, Equipment &amp; Components</c:v>
                </c:pt>
                <c:pt idx="10">
                  <c:v>Consumer Goods Conglomerates</c:v>
                </c:pt>
                <c:pt idx="11">
                  <c:v>Investment Banking &amp; Investment Services</c:v>
                </c:pt>
                <c:pt idx="12">
                  <c:v>Residential &amp; Commercial REIT</c:v>
                </c:pt>
                <c:pt idx="13">
                  <c:v>Electrical Utilities &amp; IPPs</c:v>
                </c:pt>
                <c:pt idx="14">
                  <c:v>Insurance</c:v>
                </c:pt>
                <c:pt idx="15">
                  <c:v>Specialty Retailers</c:v>
                </c:pt>
                <c:pt idx="16">
                  <c:v>Food &amp; Tobacco</c:v>
                </c:pt>
                <c:pt idx="17">
                  <c:v>Hotels &amp; Entertainment Services</c:v>
                </c:pt>
                <c:pt idx="18">
                  <c:v>Beverages</c:v>
                </c:pt>
                <c:pt idx="19">
                  <c:v>Automobiles &amp; Auto Parts</c:v>
                </c:pt>
                <c:pt idx="20">
                  <c:v>Aerospace &amp; Defense</c:v>
                </c:pt>
                <c:pt idx="21">
                  <c:v>Personal &amp; Household Products &amp; Services</c:v>
                </c:pt>
                <c:pt idx="22">
                  <c:v>Telecommunications Services</c:v>
                </c:pt>
                <c:pt idx="23">
                  <c:v>Professional &amp; Commercial Services</c:v>
                </c:pt>
                <c:pt idx="24">
                  <c:v>Chemicals</c:v>
                </c:pt>
                <c:pt idx="25">
                  <c:v>Freight &amp; Logistics Services</c:v>
                </c:pt>
                <c:pt idx="26">
                  <c:v>Communications &amp; Networking</c:v>
                </c:pt>
                <c:pt idx="27">
                  <c:v>Food &amp; Drug Retailing</c:v>
                </c:pt>
                <c:pt idx="28">
                  <c:v>Biotechnology &amp; Medical Research</c:v>
                </c:pt>
                <c:pt idx="29">
                  <c:v>Oil &amp; Gas Related Equipment and Services</c:v>
                </c:pt>
                <c:pt idx="30">
                  <c:v>Media &amp; Publishing</c:v>
                </c:pt>
                <c:pt idx="31">
                  <c:v>Multiline Utilities</c:v>
                </c:pt>
                <c:pt idx="32">
                  <c:v>Financial Technology (Fintech) &amp; Infrastructure</c:v>
                </c:pt>
                <c:pt idx="33">
                  <c:v>Textiles &amp; Apparel</c:v>
                </c:pt>
                <c:pt idx="34">
                  <c:v>Metals &amp; Mining</c:v>
                </c:pt>
                <c:pt idx="35">
                  <c:v>#FIELD!</c:v>
                </c:pt>
                <c:pt idx="36">
                  <c:v>Electronic Equipment &amp; Parts</c:v>
                </c:pt>
                <c:pt idx="37">
                  <c:v>Homebuilding &amp; Construction Supplies</c:v>
                </c:pt>
                <c:pt idx="38">
                  <c:v>Containers &amp; Packaging</c:v>
                </c:pt>
                <c:pt idx="39">
                  <c:v>Renewable Energy</c:v>
                </c:pt>
                <c:pt idx="40">
                  <c:v>Passenger Transportation Services</c:v>
                </c:pt>
                <c:pt idx="41">
                  <c:v>Construction Materials</c:v>
                </c:pt>
                <c:pt idx="42">
                  <c:v>Construction &amp; Engineering</c:v>
                </c:pt>
                <c:pt idx="43">
                  <c:v>Leisure Products</c:v>
                </c:pt>
                <c:pt idx="44">
                  <c:v>Office Equipment</c:v>
                </c:pt>
                <c:pt idx="45">
                  <c:v>Water Utilities</c:v>
                </c:pt>
                <c:pt idx="46">
                  <c:v>Real Estate Operations</c:v>
                </c:pt>
                <c:pt idx="47">
                  <c:v>Household Goods</c:v>
                </c:pt>
                <c:pt idx="48">
                  <c:v>Natural Gas Utilities</c:v>
                </c:pt>
              </c:strCache>
            </c:strRef>
          </c:cat>
          <c:val>
            <c:numRef>
              <c:f>'Industry analysis'!$B$3:$B$52</c:f>
              <c:numCache>
                <c:formatCode>General</c:formatCode>
                <c:ptCount val="49"/>
                <c:pt idx="0">
                  <c:v>16.944908000000002</c:v>
                </c:pt>
                <c:pt idx="1">
                  <c:v>6.9560129999999987</c:v>
                </c:pt>
                <c:pt idx="2">
                  <c:v>6.4330710000000009</c:v>
                </c:pt>
                <c:pt idx="3">
                  <c:v>4.7712300000000001</c:v>
                </c:pt>
                <c:pt idx="4">
                  <c:v>4.5516099999999984</c:v>
                </c:pt>
                <c:pt idx="5">
                  <c:v>4.2333729999999994</c:v>
                </c:pt>
                <c:pt idx="6">
                  <c:v>3.981239</c:v>
                </c:pt>
                <c:pt idx="7">
                  <c:v>3.7997359999999998</c:v>
                </c:pt>
                <c:pt idx="8">
                  <c:v>3.3396399999999997</c:v>
                </c:pt>
                <c:pt idx="9">
                  <c:v>2.9059809999999997</c:v>
                </c:pt>
                <c:pt idx="10">
                  <c:v>2.7990759999999999</c:v>
                </c:pt>
                <c:pt idx="11">
                  <c:v>2.7852699999999997</c:v>
                </c:pt>
                <c:pt idx="12">
                  <c:v>2.624892</c:v>
                </c:pt>
                <c:pt idx="13">
                  <c:v>2.463743</c:v>
                </c:pt>
                <c:pt idx="14">
                  <c:v>2.3534780000000004</c:v>
                </c:pt>
                <c:pt idx="15">
                  <c:v>2.2251339999999997</c:v>
                </c:pt>
                <c:pt idx="16">
                  <c:v>2.1710790000000002</c:v>
                </c:pt>
                <c:pt idx="17">
                  <c:v>2.0196489999999998</c:v>
                </c:pt>
                <c:pt idx="18">
                  <c:v>1.9475650000000002</c:v>
                </c:pt>
                <c:pt idx="19">
                  <c:v>1.893791</c:v>
                </c:pt>
                <c:pt idx="20">
                  <c:v>1.8751760000000002</c:v>
                </c:pt>
                <c:pt idx="21">
                  <c:v>1.7463960000000001</c:v>
                </c:pt>
                <c:pt idx="22">
                  <c:v>1.7271560000000001</c:v>
                </c:pt>
                <c:pt idx="23">
                  <c:v>1.72418</c:v>
                </c:pt>
                <c:pt idx="24">
                  <c:v>1.6804939999999995</c:v>
                </c:pt>
                <c:pt idx="25">
                  <c:v>1.534667</c:v>
                </c:pt>
                <c:pt idx="26">
                  <c:v>0.93955800000000012</c:v>
                </c:pt>
                <c:pt idx="27">
                  <c:v>0.93311599999999995</c:v>
                </c:pt>
                <c:pt idx="28">
                  <c:v>0.85992699999999989</c:v>
                </c:pt>
                <c:pt idx="29">
                  <c:v>0.77994100000000011</c:v>
                </c:pt>
                <c:pt idx="30">
                  <c:v>0.76813299999999995</c:v>
                </c:pt>
                <c:pt idx="31">
                  <c:v>0.53244600000000009</c:v>
                </c:pt>
                <c:pt idx="32">
                  <c:v>0.46323400000000003</c:v>
                </c:pt>
                <c:pt idx="33">
                  <c:v>0.44579299999999999</c:v>
                </c:pt>
                <c:pt idx="34">
                  <c:v>0.40981399999999996</c:v>
                </c:pt>
                <c:pt idx="35">
                  <c:v>0.33790900000000001</c:v>
                </c:pt>
                <c:pt idx="36">
                  <c:v>0.31212300000000004</c:v>
                </c:pt>
                <c:pt idx="37">
                  <c:v>0.26911599999999997</c:v>
                </c:pt>
                <c:pt idx="38">
                  <c:v>0.25579099999999999</c:v>
                </c:pt>
                <c:pt idx="39">
                  <c:v>0.230715</c:v>
                </c:pt>
                <c:pt idx="40">
                  <c:v>0.21295500000000001</c:v>
                </c:pt>
                <c:pt idx="41">
                  <c:v>0.13863600000000001</c:v>
                </c:pt>
                <c:pt idx="42">
                  <c:v>0.11055899999999999</c:v>
                </c:pt>
                <c:pt idx="43">
                  <c:v>0.10861999999999999</c:v>
                </c:pt>
                <c:pt idx="44">
                  <c:v>9.8003999999999994E-2</c:v>
                </c:pt>
                <c:pt idx="45">
                  <c:v>8.6170999999999998E-2</c:v>
                </c:pt>
                <c:pt idx="46">
                  <c:v>7.5076000000000004E-2</c:v>
                </c:pt>
                <c:pt idx="47">
                  <c:v>5.3978999999999999E-2</c:v>
                </c:pt>
                <c:pt idx="48">
                  <c:v>4.9050000000000003E-2</c:v>
                </c:pt>
              </c:numCache>
            </c:numRef>
          </c:val>
          <c:extLst>
            <c:ext xmlns:c16="http://schemas.microsoft.com/office/drawing/2014/chart" uri="{C3380CC4-5D6E-409C-BE32-E72D297353CC}">
              <c16:uniqueId val="{00000000-21BD-442A-A272-5AD49DFBAD8D}"/>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5737514518002327"/>
          <c:y val="0.28618804725736513"/>
          <c:w val="0.33333333333333331"/>
          <c:h val="0.630811252364821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Weighted</a:t>
            </a:r>
          </a:p>
        </c:rich>
      </c:tx>
      <c:layout>
        <c:manualLayout>
          <c:xMode val="edge"/>
          <c:yMode val="edge"/>
          <c:x val="0.39251193397159362"/>
          <c:y val="3.60360155857186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5680664916885392E-2"/>
          <c:y val="0.14393518518518519"/>
          <c:w val="0.51676224846894137"/>
          <c:h val="0.80050925925925931"/>
        </c:manualLayout>
      </c:layout>
      <c:pieChart>
        <c:varyColors val="1"/>
        <c:ser>
          <c:idx val="0"/>
          <c:order val="0"/>
          <c:explosion val="1"/>
          <c:dPt>
            <c:idx val="0"/>
            <c:bubble3D val="0"/>
            <c:spPr>
              <a:solidFill>
                <a:schemeClr val="accent2"/>
              </a:solidFill>
              <a:ln w="19050">
                <a:solidFill>
                  <a:schemeClr val="lt1"/>
                </a:solidFill>
              </a:ln>
              <a:effectLst/>
            </c:spPr>
            <c:extLst>
              <c:ext xmlns:c16="http://schemas.microsoft.com/office/drawing/2014/chart" uri="{C3380CC4-5D6E-409C-BE32-E72D297353CC}">
                <c16:uniqueId val="{00000001-927A-48EF-9320-8B60A22A2B48}"/>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927A-48EF-9320-8B60A22A2B48}"/>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927A-48EF-9320-8B60A22A2B48}"/>
              </c:ext>
            </c:extLst>
          </c:dPt>
          <c:dPt>
            <c:idx val="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927A-48EF-9320-8B60A22A2B48}"/>
              </c:ext>
            </c:extLst>
          </c:dPt>
          <c:dPt>
            <c:idx val="4"/>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927A-48EF-9320-8B60A22A2B4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'Industry analysis'!$D$18:$D$22</c:f>
              <c:strCache>
                <c:ptCount val="5"/>
                <c:pt idx="0">
                  <c:v>Software &amp; IT Services</c:v>
                </c:pt>
                <c:pt idx="1">
                  <c:v>Computers, Phones &amp; Household Electronics</c:v>
                </c:pt>
                <c:pt idx="2">
                  <c:v>Pharmaceuticals</c:v>
                </c:pt>
                <c:pt idx="3">
                  <c:v>Semiconductors &amp; Semiconductor Equipment</c:v>
                </c:pt>
                <c:pt idx="4">
                  <c:v>Oil &amp; Gas</c:v>
                </c:pt>
              </c:strCache>
            </c:strRef>
          </c:cat>
          <c:val>
            <c:numRef>
              <c:f>'Industry analysis'!$E$18:$E$22</c:f>
              <c:numCache>
                <c:formatCode>0.000</c:formatCode>
                <c:ptCount val="5"/>
                <c:pt idx="0">
                  <c:v>16.944908000000002</c:v>
                </c:pt>
                <c:pt idx="1">
                  <c:v>6.4330710000000009</c:v>
                </c:pt>
                <c:pt idx="2">
                  <c:v>6.9560129999999987</c:v>
                </c:pt>
                <c:pt idx="3">
                  <c:v>4.7712300000000001</c:v>
                </c:pt>
                <c:pt idx="4">
                  <c:v>4.2333729999999994</c:v>
                </c:pt>
              </c:numCache>
            </c:numRef>
          </c:val>
          <c:extLst>
            <c:ext xmlns:c16="http://schemas.microsoft.com/office/drawing/2014/chart" uri="{C3380CC4-5D6E-409C-BE32-E72D297353CC}">
              <c16:uniqueId val="{00000000-0A27-4741-AFF9-FF5B21BF21E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0.61618416447944002"/>
          <c:y val="0.16261300670749487"/>
          <c:w val="0.30374256342957129"/>
          <c:h val="0.7725721784776903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Largest Price Increases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'Price Changes'!$D$3:$D$22</c:f>
              <c:strCache>
                <c:ptCount val="20"/>
                <c:pt idx="0">
                  <c:v>Booking Holdings Inc.</c:v>
                </c:pt>
                <c:pt idx="1">
                  <c:v>Chipotle Mexican Grill Inc.</c:v>
                </c:pt>
                <c:pt idx="2">
                  <c:v>Moderna Inc.</c:v>
                </c:pt>
                <c:pt idx="3">
                  <c:v>Deere &amp; Company</c:v>
                </c:pt>
                <c:pt idx="4">
                  <c:v>Adobe Incorporated</c:v>
                </c:pt>
                <c:pt idx="5">
                  <c:v>TransDigm Group Incorporated</c:v>
                </c:pt>
                <c:pt idx="6">
                  <c:v>Accenture Plc Class A</c:v>
                </c:pt>
                <c:pt idx="7">
                  <c:v>Lockheed Martin Corporation</c:v>
                </c:pt>
                <c:pt idx="8">
                  <c:v>ServiceNow Inc.</c:v>
                </c:pt>
                <c:pt idx="9">
                  <c:v>Rockwell Automation Inc.</c:v>
                </c:pt>
                <c:pt idx="10">
                  <c:v>Caterpillar Inc.</c:v>
                </c:pt>
                <c:pt idx="11">
                  <c:v>Cooper Companies Inc.</c:v>
                </c:pt>
                <c:pt idx="12">
                  <c:v>EPAM Systems Inc.</c:v>
                </c:pt>
                <c:pt idx="13">
                  <c:v>Charter Communications Inc. Class A</c:v>
                </c:pt>
                <c:pt idx="14">
                  <c:v>Zebra Technologies Corporation Class A</c:v>
                </c:pt>
                <c:pt idx="15">
                  <c:v>Everest Re Group Ltd.</c:v>
                </c:pt>
                <c:pt idx="16">
                  <c:v>Chevron Corporation</c:v>
                </c:pt>
                <c:pt idx="17">
                  <c:v>Regeneron Pharmaceuticals Inc.</c:v>
                </c:pt>
                <c:pt idx="18">
                  <c:v>Boeing Company</c:v>
                </c:pt>
                <c:pt idx="19">
                  <c:v>Meta Platforms Inc. Class A</c:v>
                </c:pt>
              </c:strCache>
            </c:strRef>
          </c:cat>
          <c:val>
            <c:numRef>
              <c:f>'Price Changes'!$E$3:$E$22</c:f>
              <c:numCache>
                <c:formatCode>_("$"* #,##0.00_);_("$"* \(#,##0.00\);_("$"* "-"??_);_(@_)</c:formatCode>
                <c:ptCount val="20"/>
                <c:pt idx="0">
                  <c:v>27.07</c:v>
                </c:pt>
                <c:pt idx="1">
                  <c:v>13.4</c:v>
                </c:pt>
                <c:pt idx="2">
                  <c:v>11.86</c:v>
                </c:pt>
                <c:pt idx="3">
                  <c:v>9.86</c:v>
                </c:pt>
                <c:pt idx="4">
                  <c:v>9.23</c:v>
                </c:pt>
                <c:pt idx="5">
                  <c:v>8.11</c:v>
                </c:pt>
                <c:pt idx="6">
                  <c:v>6.5</c:v>
                </c:pt>
                <c:pt idx="7">
                  <c:v>4.3600000000000003</c:v>
                </c:pt>
                <c:pt idx="8">
                  <c:v>4.17</c:v>
                </c:pt>
                <c:pt idx="9">
                  <c:v>3.94</c:v>
                </c:pt>
                <c:pt idx="10">
                  <c:v>3.71</c:v>
                </c:pt>
                <c:pt idx="11">
                  <c:v>3.63</c:v>
                </c:pt>
                <c:pt idx="12">
                  <c:v>3.15</c:v>
                </c:pt>
                <c:pt idx="13">
                  <c:v>3.13</c:v>
                </c:pt>
                <c:pt idx="14">
                  <c:v>2.94</c:v>
                </c:pt>
                <c:pt idx="15">
                  <c:v>2.82</c:v>
                </c:pt>
                <c:pt idx="16">
                  <c:v>2.79</c:v>
                </c:pt>
                <c:pt idx="17">
                  <c:v>2.74</c:v>
                </c:pt>
                <c:pt idx="18">
                  <c:v>2.6</c:v>
                </c:pt>
                <c:pt idx="19">
                  <c:v>2.6</c:v>
                </c:pt>
              </c:numCache>
            </c:numRef>
          </c:val>
          <c:extLst>
            <c:ext xmlns:c16="http://schemas.microsoft.com/office/drawing/2014/chart" uri="{C3380CC4-5D6E-409C-BE32-E72D297353CC}">
              <c16:uniqueId val="{00000000-467C-43CD-9256-07165127E911}"/>
            </c:ext>
          </c:extLst>
        </c:ser>
        <c:dLbls>
          <c:showLegendKey val="0"/>
          <c:showVal val="0"/>
          <c:showCatName val="0"/>
          <c:showSerName val="0"/>
          <c:showPercent val="0"/>
          <c:showBubbleSize val="0"/>
        </c:dLbls>
        <c:gapWidth val="219"/>
        <c:overlap val="-27"/>
        <c:axId val="1085961656"/>
        <c:axId val="1085964536"/>
      </c:barChart>
      <c:catAx>
        <c:axId val="1085961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964536"/>
        <c:crosses val="autoZero"/>
        <c:auto val="1"/>
        <c:lblAlgn val="ctr"/>
        <c:lblOffset val="100"/>
        <c:noMultiLvlLbl val="0"/>
      </c:catAx>
      <c:valAx>
        <c:axId val="108596453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961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C5E0B4">
        <a:alpha val="74902"/>
      </a:srgb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Largest</a:t>
            </a:r>
            <a:r>
              <a:rPr lang="en-US" baseline="0"/>
              <a:t> Price Decreases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spPr>
            <a:solidFill>
              <a:schemeClr val="accent1"/>
            </a:solidFill>
            <a:ln>
              <a:noFill/>
            </a:ln>
            <a:effectLst/>
            <a:sp3d/>
          </c:spPr>
          <c:invertIfNegative val="0"/>
          <c:cat>
            <c:strRef>
              <c:f>'Price Changes'!$G$3:$G$22</c:f>
              <c:strCache>
                <c:ptCount val="20"/>
                <c:pt idx="0">
                  <c:v>Paycom Software Inc.</c:v>
                </c:pt>
                <c:pt idx="1">
                  <c:v>Old Dominion Freight Line Inc.</c:v>
                </c:pt>
                <c:pt idx="2">
                  <c:v>Equinix Inc.</c:v>
                </c:pt>
                <c:pt idx="3">
                  <c:v>United Parcel Service Inc. Class B</c:v>
                </c:pt>
                <c:pt idx="4">
                  <c:v>UnitedHealth Group Incorporated</c:v>
                </c:pt>
                <c:pt idx="5">
                  <c:v>FedEx Corporation</c:v>
                </c:pt>
                <c:pt idx="6">
                  <c:v>Broadcom Inc.</c:v>
                </c:pt>
                <c:pt idx="7">
                  <c:v>Public Storage</c:v>
                </c:pt>
                <c:pt idx="8">
                  <c:v>Laboratory Corporation of America Holdings</c:v>
                </c:pt>
                <c:pt idx="9">
                  <c:v>Mettler-Toledo International Inc.</c:v>
                </c:pt>
                <c:pt idx="10">
                  <c:v>Teleflex Incorporated</c:v>
                </c:pt>
                <c:pt idx="11">
                  <c:v>IDEXX Laboratories Inc.</c:v>
                </c:pt>
                <c:pt idx="12">
                  <c:v>KLA Corporation</c:v>
                </c:pt>
                <c:pt idx="13">
                  <c:v>Cigna Corporation</c:v>
                </c:pt>
                <c:pt idx="14">
                  <c:v>Tesla Inc</c:v>
                </c:pt>
                <c:pt idx="15">
                  <c:v>Thermo Fisher Scientific Inc.</c:v>
                </c:pt>
                <c:pt idx="16">
                  <c:v>Humana Inc.</c:v>
                </c:pt>
                <c:pt idx="17">
                  <c:v>FactSet Research Systems Inc.</c:v>
                </c:pt>
                <c:pt idx="18">
                  <c:v>AutoZone Inc.</c:v>
                </c:pt>
                <c:pt idx="19">
                  <c:v>NVR Inc.</c:v>
                </c:pt>
              </c:strCache>
            </c:strRef>
          </c:cat>
          <c:val>
            <c:numRef>
              <c:f>'Price Changes'!$H$3:$H$22</c:f>
              <c:numCache>
                <c:formatCode>_("$"* #,##0.00_);_("$"* \(#,##0.00\);_("$"* "-"??_);_(@_)</c:formatCode>
                <c:ptCount val="20"/>
                <c:pt idx="0">
                  <c:v>-5.77</c:v>
                </c:pt>
                <c:pt idx="1">
                  <c:v>-5.98</c:v>
                </c:pt>
                <c:pt idx="2">
                  <c:v>-6.04</c:v>
                </c:pt>
                <c:pt idx="3">
                  <c:v>-6.13</c:v>
                </c:pt>
                <c:pt idx="4">
                  <c:v>-6.61</c:v>
                </c:pt>
                <c:pt idx="5">
                  <c:v>-7.11</c:v>
                </c:pt>
                <c:pt idx="6">
                  <c:v>-7.12</c:v>
                </c:pt>
                <c:pt idx="7">
                  <c:v>-7.25</c:v>
                </c:pt>
                <c:pt idx="8">
                  <c:v>-7.63</c:v>
                </c:pt>
                <c:pt idx="9">
                  <c:v>-7.83</c:v>
                </c:pt>
                <c:pt idx="10">
                  <c:v>-7.92</c:v>
                </c:pt>
                <c:pt idx="11">
                  <c:v>-8.64</c:v>
                </c:pt>
                <c:pt idx="12">
                  <c:v>-8.66</c:v>
                </c:pt>
                <c:pt idx="13">
                  <c:v>-9.99</c:v>
                </c:pt>
                <c:pt idx="14">
                  <c:v>-11.92</c:v>
                </c:pt>
                <c:pt idx="15">
                  <c:v>-12.38</c:v>
                </c:pt>
                <c:pt idx="16">
                  <c:v>-14.84</c:v>
                </c:pt>
                <c:pt idx="17">
                  <c:v>-22.9</c:v>
                </c:pt>
                <c:pt idx="18">
                  <c:v>-24.16</c:v>
                </c:pt>
                <c:pt idx="19">
                  <c:v>-49.65</c:v>
                </c:pt>
              </c:numCache>
            </c:numRef>
          </c:val>
          <c:extLst>
            <c:ext xmlns:c16="http://schemas.microsoft.com/office/drawing/2014/chart" uri="{C3380CC4-5D6E-409C-BE32-E72D297353CC}">
              <c16:uniqueId val="{00000000-4FB7-413D-94CD-B05E1EF48D3F}"/>
            </c:ext>
          </c:extLst>
        </c:ser>
        <c:dLbls>
          <c:showLegendKey val="0"/>
          <c:showVal val="0"/>
          <c:showCatName val="0"/>
          <c:showSerName val="0"/>
          <c:showPercent val="0"/>
          <c:showBubbleSize val="0"/>
        </c:dLbls>
        <c:gapWidth val="150"/>
        <c:shape val="box"/>
        <c:axId val="1010242808"/>
        <c:axId val="1010240568"/>
        <c:axId val="0"/>
      </c:bar3DChart>
      <c:catAx>
        <c:axId val="1010242808"/>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1010240568"/>
        <c:crosses val="autoZero"/>
        <c:auto val="1"/>
        <c:lblAlgn val="ctr"/>
        <c:lblOffset val="100"/>
        <c:noMultiLvlLbl val="0"/>
      </c:catAx>
      <c:valAx>
        <c:axId val="1010240568"/>
        <c:scaling>
          <c:orientation val="minMax"/>
        </c:scaling>
        <c:delete val="0"/>
        <c:axPos val="l"/>
        <c:numFmt formatCode="_(&quot;$&quot;* #,##0.00_);_(&quot;$&quot;* \(#,##0.00\);_(&quot;$&quot;*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02428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D75B5B">
        <a:alpha val="50196"/>
      </a:srgbClr>
    </a:solidFill>
    <a:ln w="9525" cap="flat" cmpd="sng" algn="ctr">
      <a:solidFill>
        <a:schemeClr val="tx1">
          <a:lumMod val="15000"/>
          <a:lumOff val="85000"/>
        </a:schemeClr>
      </a:solidFill>
      <a:round/>
    </a:ln>
    <a:effectLst/>
  </c:spPr>
  <c:txPr>
    <a:bodyPr anchor="b" anchorCtr="0"/>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3</xdr:row>
          <xdr:rowOff>19050</xdr:rowOff>
        </xdr:from>
        <xdr:to>
          <xdr:col>13</xdr:col>
          <xdr:colOff>581025</xdr:colOff>
          <xdr:row>4</xdr:row>
          <xdr:rowOff>142875</xdr:rowOff>
        </xdr:to>
        <xdr:sp macro="" textlink="">
          <xdr:nvSpPr>
            <xdr:cNvPr id="2049" name="CommandButton1" descr="Refresh Table to keep current market data"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790576</xdr:colOff>
      <xdr:row>0</xdr:row>
      <xdr:rowOff>19051</xdr:rowOff>
    </xdr:from>
    <xdr:to>
      <xdr:col>4</xdr:col>
      <xdr:colOff>2276475</xdr:colOff>
      <xdr:row>14</xdr:row>
      <xdr:rowOff>171450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9525</xdr:colOff>
      <xdr:row>15</xdr:row>
      <xdr:rowOff>19052</xdr:rowOff>
    </xdr:from>
    <xdr:to>
      <xdr:col>8</xdr:col>
      <xdr:colOff>704850</xdr:colOff>
      <xdr:row>23</xdr:row>
      <xdr:rowOff>38100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95249</xdr:colOff>
      <xdr:row>22</xdr:row>
      <xdr:rowOff>76200</xdr:rowOff>
    </xdr:from>
    <xdr:to>
      <xdr:col>5</xdr:col>
      <xdr:colOff>1666875</xdr:colOff>
      <xdr:row>37</xdr:row>
      <xdr:rowOff>95249</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9524</xdr:colOff>
      <xdr:row>22</xdr:row>
      <xdr:rowOff>76200</xdr:rowOff>
    </xdr:from>
    <xdr:to>
      <xdr:col>10</xdr:col>
      <xdr:colOff>438150</xdr:colOff>
      <xdr:row>37</xdr:row>
      <xdr:rowOff>114300</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om dandrea" refreshedDate="44915.660409722223" createdVersion="8" refreshedVersion="8" minRefreshableVersion="3" recordCount="504" xr:uid="{5D0F1249-E947-47FD-8804-557AD8736DD6}">
  <cacheSource type="worksheet">
    <worksheetSource name="Table_0[[Company]:[Market cap]]"/>
  </cacheSource>
  <cacheFields count="9">
    <cacheField name="Company" numFmtId="0">
      <sharedItems/>
    </cacheField>
    <cacheField name="Symbol" numFmtId="0">
      <sharedItems/>
    </cacheField>
    <cacheField name="Industry" numFmtId="0">
      <sharedItems count="49">
        <s v="Computers, Phones &amp; Household Electronics"/>
        <s v="Software &amp; IT Services"/>
        <s v="Diversified Retail"/>
        <s v="Consumer Goods Conglomerates"/>
        <s v="Healthcare Providers &amp; Services"/>
        <s v="Pharmaceuticals"/>
        <s v="Oil &amp; Gas"/>
        <s v="Semiconductors &amp; Semiconductor Equipment"/>
        <s v="Automobiles &amp; Auto Parts"/>
        <s v="Banking Services"/>
        <s v="Personal &amp; Household Products &amp; Services"/>
        <s v="Specialty Retailers"/>
        <s v="Beverages"/>
        <s v="Healthcare Equipment &amp; Supplies"/>
        <s v="Food &amp; Drug Retailing"/>
        <s v="Hotels &amp; Entertainment Services"/>
        <s v="Communications &amp; Networking"/>
        <s v="Electrical Utilities &amp; IPPs"/>
        <s v="Chemicals"/>
        <s v="Media &amp; Publishing"/>
        <s v="Food &amp; Tobacco"/>
        <s v="Telecommunications Services"/>
        <s v="Aerospace &amp; Defense"/>
        <s v="Freight &amp; Logistics Services"/>
        <s v="Textiles &amp; Apparel"/>
        <s v="Machinery, Equipment &amp; Components"/>
        <s v="Investment Banking &amp; Investment Services"/>
        <s v="Professional &amp; Commercial Services"/>
        <s v="Financial Technology (Fintech) &amp; Infrastructure"/>
        <s v="#FIELD!"/>
        <s v="Residential &amp; Commercial REIT"/>
        <s v="Insurance"/>
        <s v="Biotechnology &amp; Medical Research"/>
        <s v="Oil &amp; Gas Related Equipment and Services"/>
        <s v="Metals &amp; Mining"/>
        <s v="Multiline Utilities"/>
        <s v="Electronic Equipment &amp; Parts"/>
        <s v="Renewable Energy"/>
        <s v="Office Equipment"/>
        <s v="Homebuilding &amp; Construction Supplies"/>
        <s v="Water Utilities"/>
        <s v="Real Estate Operations"/>
        <s v="Construction Materials"/>
        <s v="Passenger Transportation Services"/>
        <s v="Construction &amp; Engineering"/>
        <s v="Containers &amp; Packaging"/>
        <s v="Natural Gas Utilities"/>
        <s v="Leisure Products"/>
        <s v="Household Goods"/>
      </sharedItems>
    </cacheField>
    <cacheField name="Weight" numFmtId="0">
      <sharedItems containsSemiMixedTypes="0" containsString="0" containsNumber="1" minValue="3.434E-3" maxValue="6.1926560000000004"/>
    </cacheField>
    <cacheField name="Price" numFmtId="44">
      <sharedItems containsSemiMixedTypes="0" containsString="0" containsNumber="1" minValue="5.28" maxValue="4622.99"/>
    </cacheField>
    <cacheField name="Chg" numFmtId="44">
      <sharedItems containsSemiMixedTypes="0" containsString="0" containsNumber="1" minValue="-62.21" maxValue="26.74"/>
    </cacheField>
    <cacheField name="% Chg" numFmtId="10">
      <sharedItems/>
    </cacheField>
    <cacheField name="P/E" numFmtId="4">
      <sharedItems containsMixedTypes="1" containsNumber="1" minValue="0" maxValue="822.40499999999997"/>
    </cacheField>
    <cacheField name="Market cap" numFmtId="164">
      <sharedItems containsMixedTypes="1" containsNumber="1" containsInteger="1" minValue="2653580" maxValue="2102258058000"/>
    </cacheField>
  </cacheFields>
  <extLst>
    <ext xmlns:x14="http://schemas.microsoft.com/office/spreadsheetml/2009/9/main" uri="{725AE2AE-9491-48be-B2B4-4EB974FC3084}">
      <x14:pivotCacheDefinition pivotCacheId="64694646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om dandrea" refreshedDate="44915.669725462962" createdVersion="8" refreshedVersion="8" minRefreshableVersion="3" recordCount="504" xr:uid="{EDE148F7-A04F-438D-9986-CBD2A7BF4235}">
  <cacheSource type="worksheet">
    <worksheetSource name="Table_0"/>
  </cacheSource>
  <cacheFields count="10">
    <cacheField name="#" numFmtId="0">
      <sharedItems containsSemiMixedTypes="0" containsString="0" containsNumber="1" containsInteger="1" minValue="1" maxValue="504"/>
    </cacheField>
    <cacheField name="Company" numFmtId="0">
      <sharedItems count="504">
        <s v="Apple Inc."/>
        <s v="Microsoft Corporation"/>
        <s v="Amazon.com Inc."/>
        <s v="Berkshire Hathaway Inc. Class B"/>
        <s v="Alphabet Inc. Class A"/>
        <s v="UnitedHealth Group Incorporated"/>
        <s v="Alphabet Inc. Class C"/>
        <s v="Johnson &amp; Johnson"/>
        <s v="Exxon Mobil Corporation"/>
        <s v="NVIDIA Corporation"/>
        <s v="Tesla Inc"/>
        <s v="JPMorgan Chase &amp; Co."/>
        <s v="Procter &amp; Gamble Company"/>
        <s v="Visa Inc. Class A"/>
        <s v="Home Depot Inc."/>
        <s v="Chevron Corporation"/>
        <s v="Mastercard Incorporated Class A"/>
        <s v="Pfizer Inc."/>
        <s v="AbbVie Inc."/>
        <s v="Eli Lilly and Company"/>
        <s v="Merck &amp; Co. Inc."/>
        <s v="Meta Platforms Inc. Class A"/>
        <s v="PepsiCo Inc."/>
        <s v="Coca-Cola Company"/>
        <s v="Bank of America Corp"/>
        <s v="Broadcom Inc."/>
        <s v="Thermo Fisher Scientific Inc."/>
        <s v="Costco Wholesale Corporation"/>
        <s v="Walmart Inc."/>
        <s v="McDonald's Corporation"/>
        <s v="Cisco Systems Inc."/>
        <s v="Abbott Laboratories"/>
        <s v="Danaher Corporation"/>
        <s v="NextEra Energy Inc."/>
        <s v="Linde plc"/>
        <s v="Accenture Plc Class A"/>
        <s v="Wells Fargo &amp; Company"/>
        <s v="Walt Disney Company"/>
        <s v="Philip Morris International Inc."/>
        <s v="Verizon Communications Inc."/>
        <s v="Bristol-Myers Squibb Company"/>
        <s v="Adobe Incorporated"/>
        <s v="Texas Instruments Incorporated"/>
        <s v="Comcast Corporation Class A"/>
        <s v="Raytheon Technologies Corporation"/>
        <s v="Amgen Inc."/>
        <s v="Honeywell International Inc."/>
        <s v="ConocoPhillips"/>
        <s v="United Parcel Service Inc. Class B"/>
        <s v="NIKE Inc. Class B"/>
        <s v="Salesforce Inc."/>
        <s v="Netflix Inc."/>
        <s v="AT&amp;T Inc."/>
        <s v="Union Pacific Corporation"/>
        <s v="Lowe's Companies Inc."/>
        <s v="QUALCOMM Incorporated"/>
        <s v="International Business Machines Corporation"/>
        <s v="CVS Health Corporation"/>
        <s v="Oracle Corporation"/>
        <s v="Caterpillar Inc."/>
        <s v="Elevance Health Inc."/>
        <s v="Charles Schwab Corp"/>
        <s v="Deere &amp; Company"/>
        <s v="Goldman Sachs Group Inc."/>
        <s v="Starbucks Corporation"/>
        <s v="Morgan Stanley"/>
        <s v="Lockheed Martin Corporation"/>
        <s v="S&amp;P Global Inc."/>
        <s v="Intel Corporation"/>
        <s v="Gilead Sciences Inc."/>
        <s v="Intuit Inc."/>
        <s v="BlackRock Inc."/>
        <s v="Boeing Company"/>
        <s v="Advanced Micro Devices Inc."/>
        <s v="Prologis Inc."/>
        <s v="Medtronic Plc"/>
        <s v="Automatic Data Processing Inc."/>
        <s v="Cigna Corporation"/>
        <s v="American Tower Corporation"/>
        <s v="Intuitive Surgical Inc."/>
        <s v="TJX Companies Inc"/>
        <s v="Mondelez International Inc. Class A"/>
        <s v="Applied Materials Inc."/>
        <s v="Chubb Limited"/>
        <s v="American Express Company"/>
        <s v="Analog Devices Inc."/>
        <s v="Citigroup Inc."/>
        <s v="General Electric Company"/>
        <s v="T-Mobile US Inc."/>
        <s v="Altria Group Inc"/>
        <s v="Marsh &amp; McLennan Companies Inc."/>
        <s v="Stryker Corporation"/>
        <s v="PayPal Holdings Inc."/>
        <s v="Duke Energy Corporation"/>
        <s v="Northrop Grumman Corp."/>
        <s v="Regeneron Pharmaceuticals Inc."/>
        <s v="ServiceNow Inc."/>
        <s v="Southern Company"/>
        <s v="Booking Holdings Inc."/>
        <s v="Vertex Pharmaceuticals Incorporated"/>
        <s v="Progressive Corporation"/>
        <s v="EOG Resources Inc."/>
        <s v="Schlumberger NV"/>
        <s v="Becton Dickinson and Company"/>
        <s v="Air Products and Chemicals Inc."/>
        <s v="3M Company"/>
        <s v="Target Corporation"/>
        <s v="Zoetis Inc. Class A"/>
        <s v="Boston Scientific Corporation"/>
        <s v="CSX Corporation"/>
        <s v="Colgate-Palmolive Company"/>
        <s v="Humana Inc."/>
        <s v="Fiserv Inc."/>
        <s v="Moderna Inc."/>
        <s v="Aon Plc Class A"/>
        <s v="CME Group Inc. Class A"/>
        <s v="Eaton Corp. Plc"/>
        <s v="Illinois Tool Works Inc."/>
        <s v="Equinix Inc."/>
        <s v="PNC Financial Services Group Inc."/>
        <s v="Lam Research Corporation"/>
        <s v="Waste Management Inc."/>
        <s v="Crown Castle Inc."/>
        <s v="Norfolk Southern Corporation"/>
        <s v="U.S. Bancorp"/>
        <s v="Micron Technology Inc."/>
        <s v="Sherwin-Williams Company"/>
        <s v="Emerson Electric Co."/>
        <s v="Intercontinental Exchange Inc."/>
        <s v="Dollar General Corporation"/>
        <s v="General Dynamics Corporation"/>
        <s v="Truist Financial Corporation"/>
        <s v="Estee Lauder Companies Inc. Class A"/>
        <s v="KLA Corporation"/>
        <s v="Activision Blizzard Inc."/>
        <s v="McKesson Corporation"/>
        <s v="Freeport-McMoRan Inc."/>
        <s v="Marathon Petroleum Corporation"/>
        <s v="Pioneer Natural Resources Company"/>
        <s v="General Mills Inc."/>
        <s v="HCA Healthcare Inc"/>
        <s v="O'Reilly Automotive Inc."/>
        <s v="Archer-Daniels-Midland Company"/>
        <s v="General Motors Company"/>
        <s v="Sempra Energy"/>
        <s v="Synopsys Inc."/>
        <s v="Dominion Energy Inc"/>
        <s v="American Electric Power Company Inc."/>
        <s v="Phillips 66"/>
        <s v="MetLife Inc."/>
        <s v="Centene Corporation"/>
        <s v="Valero Energy Corporation"/>
        <s v="Ford Motor Company"/>
        <s v="American International Group Inc."/>
        <s v="Kimberly-Clark Corporation"/>
        <s v="Edwards Lifesciences Corporation"/>
        <s v="Occidental Petroleum Corporation"/>
        <s v="Amphenol Corporation Class A"/>
        <s v="AutoZone Inc."/>
        <s v="Roper Technologies Inc."/>
        <s v="Public Storage"/>
        <s v="Cadence Design Systems Inc."/>
        <s v="DexCom Inc."/>
        <s v="Moody's Corporation"/>
        <s v="Agilent Technologies Inc."/>
        <s v="Johnson Controls International plc"/>
        <s v="Travelers Companies Inc."/>
        <s v="Motorola Solutions Inc."/>
        <s v="NXP Semiconductors NV"/>
        <s v="Corteva Inc"/>
        <s v="Exelon Corporation"/>
        <s v="Enphase Energy Inc."/>
        <s v="Biogen Inc."/>
        <s v="Autodesk Inc."/>
        <s v="Marriott International Inc. Class A"/>
        <s v="FedEx Corporation"/>
        <s v="Ross Stores Inc."/>
        <s v="Fidelity National Information Services Inc."/>
        <s v="Realty Income Corporation"/>
        <s v="Sysco Corporation"/>
        <s v="Aflac Incorporated"/>
        <s v="Microchip Technology Incorporated"/>
        <s v="L3Harris Technologies Inc"/>
        <s v="Chipotle Mexican Grill Inc."/>
        <s v="Trane Technologies plc"/>
        <s v="Williams Companies Inc."/>
        <s v="Arthur J. Gallagher &amp; Co."/>
        <s v="Devon Energy Corporation"/>
        <s v="Monster Beverage Corporation"/>
        <s v="Cintas Corporation"/>
        <s v="Xcel Energy Inc."/>
        <s v="Simon Property Group Inc."/>
        <s v="Constellation Brands Inc. Class A"/>
        <s v="MSCI Inc. Class A"/>
        <s v="IQVIA Holdings Inc"/>
        <s v="Paychex Inc."/>
        <s v="TE Connectivity Ltd."/>
        <s v="Hess Corporation"/>
        <s v="Yum! Brands Inc."/>
        <s v="Parker-Hannifin Corporation"/>
        <s v="Newmont Corporation"/>
        <s v="Prudential Financial Inc."/>
        <s v="Hilton Worldwide Holdings Inc"/>
        <s v="Dow Inc."/>
        <s v="Allstate Corporation"/>
        <s v="Carrier Global Corp."/>
        <s v="Ecolab Inc."/>
        <s v="Kinder Morgan Inc Class P"/>
        <s v="PACCAR Inc"/>
        <s v="Nucor Corporation"/>
        <s v="Hershey Company"/>
        <s v="DuPont de Nemours Inc."/>
        <s v="Consolidated Edison Inc."/>
        <s v="Capital One Financial Corp"/>
        <s v="IDEXX Laboratories Inc."/>
        <s v="Cummins Inc."/>
        <s v="Ameriprise Financial Inc."/>
        <s v="Charter Communications Inc. Class A"/>
        <s v="Halliburton Company"/>
        <s v="Fortinet Inc."/>
        <s v="Otis Worldwide Corporation"/>
        <s v="Bank of New York Mellon Corp"/>
        <s v="Kraft Heinz Company"/>
        <s v="Electronic Arts Inc."/>
        <s v="VICI Properties Inc"/>
        <s v="CoStar Group Inc."/>
        <s v="Mettler-Toledo International Inc."/>
        <s v="AMETEK Inc."/>
        <s v="TransDigm Group Incorporated"/>
        <s v="Keurig Dr Pepper Inc."/>
        <s v="Keysight Technologies Inc"/>
        <s v="ResMed Inc."/>
        <s v="Illumina Inc."/>
        <s v="Welltower Inc"/>
        <s v="Arista Networks Inc."/>
        <s v="SBA Communications Corp. Class A"/>
        <s v="WEC Energy Group Inc"/>
        <s v="Public Service Enterprise Group Inc"/>
        <s v="PPG Industries Inc."/>
        <s v="Dollar Tree Inc."/>
        <s v="Kroger Co."/>
        <s v="Rockwell Automation Inc."/>
        <s v="Constellation Energy Corporation"/>
        <s v="Eversource Energy"/>
        <s v="Baker Hughes Company Class A"/>
        <s v="Digital Realty Trust Inc."/>
        <s v="State Street Corporation"/>
        <s v="Cognizant Technology Solutions Corporation Class A"/>
        <s v="ONEOK Inc."/>
        <s v="Walgreens Boots Alliance Inc."/>
        <s v="D.R. Horton Inc."/>
        <s v="ON Semiconductor Corporation"/>
        <s v="American Water Works Company Inc."/>
        <s v="Albemarle Corporation"/>
        <s v="Fastenal Company"/>
        <s v="Verisk Analytics Inc"/>
        <s v="AmerisourceBergen Corporation"/>
        <s v="Gartner Inc."/>
        <s v="Republic Services Inc."/>
        <s v="Old Dominion Freight Line Inc."/>
        <s v="Zimmer Biomet Holdings Inc."/>
        <s v="Willis Towers Watson Public Limited Company"/>
        <s v="International Flavors &amp; Fragrances Inc."/>
        <s v="Discover Financial Services"/>
        <s v="Copart Inc."/>
        <s v="Global Payments Inc."/>
        <s v="PG&amp;E Corporation"/>
        <s v="W.W. Grainger Inc."/>
        <s v="Aptiv PLC"/>
        <s v="Baxter International Inc."/>
        <s v="Genuine Parts Company"/>
        <s v="Edison International"/>
        <s v="M&amp;T Bank Corporation"/>
        <s v="T. Rowe Price Group"/>
        <s v="United Rentals Inc."/>
        <s v="HP Inc."/>
        <s v="CBRE Group Inc. Class A"/>
        <s v="Corning Inc"/>
        <s v="CDW Corp."/>
        <s v="Hartford Financial Services Group Inc."/>
        <s v="Diamondback Energy Inc."/>
        <s v="Equifax Inc."/>
        <s v="Tractor Supply Company"/>
        <s v="Vulcan Materials Company"/>
        <s v="Lennar Corporation Class A"/>
        <s v="Ulta Beauty Inc."/>
        <s v="Entergy Corporation"/>
        <s v="Weyerhaeuser Company"/>
        <s v="AvalonBay Communities Inc."/>
        <s v="eBay Inc."/>
        <s v="Ameren Corporation"/>
        <s v="Fortive Corp."/>
        <s v="Arch Capital Group Ltd."/>
        <s v="FirstEnergy Corp."/>
        <s v="DTE Energy Company"/>
        <s v="First Republic Bank"/>
        <s v="Fifth Third Bancorp"/>
        <s v="Southwest Airlines Co."/>
        <s v="PPL Corporation"/>
        <s v="Alexandria Real Estate Equities Inc."/>
        <s v="Martin Marietta Materials Inc."/>
        <s v="Delta Air Lines Inc."/>
        <s v="Cardinal Health Inc."/>
        <s v="McCormick &amp; Company Incorporated"/>
        <s v="Laboratory Corporation of America Holdings"/>
        <s v="Nasdaq Inc."/>
        <s v="Ingersoll Rand Inc."/>
        <s v="LyondellBasell Industries NV"/>
        <s v="Raymond James Financial Inc."/>
        <s v="ANSYS Inc."/>
        <s v="Warner Bros. Discovery Inc. Series A"/>
        <s v="Waters Corporation"/>
        <s v="Quanta Services Inc."/>
        <s v="Equity Residential"/>
        <s v="Hewlett Packard Enterprise Co."/>
        <s v="Huntington Bancshares Incorporated"/>
        <s v="Principal Financial Group Inc."/>
        <s v="Extra Space Storage Inc."/>
        <s v="Regions Financial Corporation"/>
        <s v="Xylem Inc."/>
        <s v="Church &amp; Dwight Co. Inc."/>
        <s v="Coterra Energy Inc."/>
        <s v="Molina Healthcare Inc."/>
        <s v="Dover Corporation"/>
        <s v="EPAM Systems Inc."/>
        <s v="Citizens Financial Group Inc."/>
        <s v="CenterPoint Energy Inc."/>
        <s v="VeriSign Inc."/>
        <s v="AES Corporation"/>
        <s v="CF Industries Holdings Inc."/>
        <s v="Hologic Inc."/>
        <s v="Kellogg Company"/>
        <s v="Conagra Brands Inc."/>
        <s v="Westinghouse Air Brake Technologies Corporation"/>
        <s v="Amcor PLC"/>
        <s v="Teledyne Technologies Incorporated"/>
        <s v="Northern Trust Corporation"/>
        <s v="STERIS Plc"/>
        <s v="Tyson Foods Inc. Class A"/>
        <s v="CMS Energy Corporation"/>
        <s v="Mid-America Apartment Communities Inc."/>
        <s v="Expeditors International of Washington Inc."/>
        <s v="Ventas Inc."/>
        <s v="Quest Diagnostics Incorporated"/>
        <s v="Clorox Company"/>
        <s v="PerkinElmer Inc."/>
        <s v="Invitation Homes Inc."/>
        <s v="Marathon Oil Corporation"/>
        <s v="ABIOMED Inc."/>
        <s v="SolarEdge Technologies Inc."/>
        <s v="IDEX Corporation"/>
        <s v="Darden Restaurants Inc."/>
        <s v="West Pharmaceutical Services Inc."/>
        <s v="J.M. Smucker Company"/>
        <s v="Best Buy Co. Inc."/>
        <s v="Cincinnati Financial Corporation"/>
        <s v="Monolithic Power Systems Inc."/>
        <s v="Ball Corporation"/>
        <s v="Etsy Inc."/>
        <s v="Omnicom Group Inc"/>
        <s v="FactSet Research Systems Inc."/>
        <s v="Atmos Energy Corporation"/>
        <s v="Broadridge Financial Solutions Inc."/>
        <s v="First Solar Inc."/>
        <s v="Targa Resources Corp."/>
        <s v="Take-Two Interactive Software Inc."/>
        <s v="FMC Corporation"/>
        <s v="Cooper Companies Inc."/>
        <s v="Mosaic Company"/>
        <s v="KeyCorp"/>
        <s v="Jacobs Solutions Inc."/>
        <s v="Las Vegas Sands Corp."/>
        <s v="Paycom Software Inc."/>
        <s v="Incyte Corporation"/>
        <s v="J.B. Hunt Transport Services Inc."/>
        <s v="Skyworks Solutions Inc."/>
        <s v="Textron Inc."/>
        <s v="Synchrony Financial"/>
        <s v="W. R. Berkley Corporation"/>
        <s v="Avery Dennison Corporation"/>
        <s v="NVR Inc."/>
        <s v="Align Technology Inc."/>
        <s v="Iron Mountain Inc."/>
        <s v="APA Corp."/>
        <s v="Leidos Holdings Inc."/>
        <s v="Evergy Inc."/>
        <s v="Garmin Ltd."/>
        <s v="Howmet Aerospace Inc."/>
        <s v="Teradyne Inc."/>
        <s v="LKQ Corporation"/>
        <s v="Alliant Energy Corp"/>
        <s v="Essex Property Trust Inc."/>
        <s v="FLEETCOR Technologies Inc."/>
        <s v="Tyler Technologies Inc."/>
        <s v="Akamai Technologies Inc."/>
        <s v="Healthpeak Properties Inc."/>
        <s v="EQT Corporation"/>
        <s v="Hormel Foods Corporation"/>
        <s v="NetApp Inc."/>
        <s v="Viatris Inc."/>
        <s v="Cboe Global Markets Inc"/>
        <s v="Kimco Realty Corporation"/>
        <s v="PTC Inc."/>
        <s v="Brown &amp; Brown Inc."/>
        <s v="Jack Henry &amp; Associates Inc."/>
        <s v="Domino's Pizza Inc."/>
        <s v="Expedia Group Inc."/>
        <s v="Everest Re Group Ltd."/>
        <s v="International Paper Company"/>
        <s v="Zebra Technologies Corporation Class A"/>
        <s v="Nordson Corporation"/>
        <s v="Interpublic Group of Companies Inc."/>
        <s v="Lamb Weston Holdings Inc."/>
        <s v="United Airlines Holdings Inc."/>
        <s v="Bio-Techne Corporation"/>
        <s v="Gen Digital Inc."/>
        <s v="Trimble Inc."/>
        <s v="Pool Corporation"/>
        <s v="SVB Financial Group"/>
        <s v="Packaging Corporation of America"/>
        <s v="Snap-on Incorporated"/>
        <s v="Brown-Forman Corporation Class B"/>
        <s v="Host Hotels &amp; Resorts Inc."/>
        <s v="UDR Inc."/>
        <s v="Camden Property Trust"/>
        <s v="C.H. Robinson Worldwide Inc."/>
        <s v="Campbell Soup Company"/>
        <s v="Match Group Inc."/>
        <s v="Royal Caribbean Group"/>
        <s v="Teleflex Incorporated"/>
        <s v="MGM Resorts International"/>
        <s v="Henry Schein Inc."/>
        <s v="Stanley Black &amp; Decker Inc."/>
        <s v="NiSource Inc"/>
        <s v="Charles River Laboratories International Inc."/>
        <s v="Loews Corporation"/>
        <s v="Globe Life Inc."/>
        <s v="Masco Corporation"/>
        <s v="PulteGroup Inc."/>
        <s v="MarketAxess Holdings Inc."/>
        <s v="Juniper Networks Inc."/>
        <s v="Celanese Corporation"/>
        <s v="Seagate Technology Holdings PLC"/>
        <s v="Eastman Chemical Company"/>
        <s v="Western Digital Corporation"/>
        <s v="Live Nation Entertainment Inc."/>
        <s v="Molson Coors Beverage Company Class B"/>
        <s v="BorgWarner Inc."/>
        <s v="Ceridian HCM Holding Inc."/>
        <s v="Qorvo Inc."/>
        <s v="Caesars Entertainment Inc"/>
        <s v="Regency Centers Corporation"/>
        <s v="CarMax Inc."/>
        <s v="Boston Properties Inc."/>
        <s v="Allegion Public Limited Company"/>
        <s v="Bath &amp; Body Works Inc."/>
        <s v="Huntington Ingalls Industries Inc."/>
        <s v="Tapestry Inc."/>
        <s v="Fox Corporation Class A"/>
        <s v="Universal Health Services Inc. Class B"/>
        <s v="WestRock Company"/>
        <s v="Pinnacle West Capital Corporation"/>
        <s v="Rollins Inc."/>
        <s v="Bio-Rad Laboratories Inc. Class A"/>
        <s v="Wynn Resorts Limited"/>
        <s v="Paramount Global Class B"/>
        <s v="Advance Auto Parts Inc."/>
        <s v="F5 Inc."/>
        <s v="Comerica Incorporated"/>
        <s v="V.F. Corporation"/>
        <s v="Invesco Ltd."/>
        <s v="American Airlines Group Inc."/>
        <s v="Robert Half International Inc."/>
        <s v="Carnival Corporation"/>
        <s v="Catalent Inc"/>
        <s v="Whirlpool Corporation"/>
        <s v="Federal Realty Investment Trust"/>
        <s v="Sealed Air Corporation"/>
        <s v="NRG Energy Inc."/>
        <s v="Pentair plc"/>
        <s v="A. O. Smith Corporation"/>
        <s v="Hasbro Inc."/>
        <s v="Signature Bank"/>
        <s v="Franklin Resources Inc."/>
        <s v="Organon &amp; Co."/>
        <s v="Zions Bancorporation N.A."/>
        <s v="News Corporation Class A"/>
        <s v="DENTSPLY SIRONA Inc."/>
        <s v="Assurant Inc."/>
        <s v="DXC Technology Co."/>
        <s v="Generac Holdings Inc."/>
        <s v="Norwegian Cruise Line Holdings Ltd."/>
        <s v="Alaska Air Group Inc."/>
        <s v="Mohawk Industries Inc."/>
        <s v="Lumen Technologies Inc."/>
        <s v="Newell Brands Inc"/>
        <s v="Lincoln National Corp"/>
        <s v="Ralph Lauren Corporation Class A"/>
        <s v="Fox Corporation Class B"/>
        <s v="DaVita Inc."/>
        <s v="DISH Network Corporation Class A"/>
        <s v="Vornado Realty Trust"/>
        <s v="News Corporation Class B"/>
        <s v="MasterBrand Inc"/>
      </sharedItems>
    </cacheField>
    <cacheField name="Symbol" numFmtId="0">
      <sharedItems/>
    </cacheField>
    <cacheField name="Industry" numFmtId="0">
      <sharedItems/>
    </cacheField>
    <cacheField name="Weight" numFmtId="0">
      <sharedItems containsSemiMixedTypes="0" containsString="0" containsNumber="1" minValue="3.434E-3" maxValue="6.1926560000000004"/>
    </cacheField>
    <cacheField name="Price" numFmtId="44">
      <sharedItems containsSemiMixedTypes="0" containsString="0" containsNumber="1" minValue="5.24" maxValue="4635.55"/>
    </cacheField>
    <cacheField name="Chg" numFmtId="44">
      <sharedItems containsSemiMixedTypes="0" containsString="0" containsNumber="1" minValue="-49.65" maxValue="27.07"/>
    </cacheField>
    <cacheField name="% Chg" numFmtId="10">
      <sharedItems/>
    </cacheField>
    <cacheField name="P/E" numFmtId="4">
      <sharedItems containsMixedTypes="1" containsNumber="1" minValue="0" maxValue="822.40499999999997"/>
    </cacheField>
    <cacheField name="Market cap" numFmtId="164">
      <sharedItems containsMixedTypes="1" containsNumber="1" containsInteger="1" minValue="2653580" maxValue="2104644276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4">
  <r>
    <s v="Apple Inc."/>
    <s v="APPLE INC. (XNAS:AAPL)"/>
    <x v="0"/>
    <n v="6.1926560000000004"/>
    <n v="132.15"/>
    <n v="-0.22"/>
    <s v="(-0.17%)"/>
    <n v="21.692499999999999"/>
    <n v="2102258058000"/>
  </r>
  <r>
    <s v="Microsoft Corporation"/>
    <s v="MICROSOFT CORPORATION (XNAS:MSFT)"/>
    <x v="1"/>
    <n v="5.6076709999999999"/>
    <n v="242.21"/>
    <n v="1.76"/>
    <s v="(0.73%)"/>
    <n v="25.909400000000002"/>
    <n v="1805920628980"/>
  </r>
  <r>
    <s v="Amazon.com Inc."/>
    <s v="AMAZON.COM, INC. (XNAS:AMZN)"/>
    <x v="2"/>
    <n v="2.3579829999999999"/>
    <n v="85.13"/>
    <n v="0.21"/>
    <s v="(0.25%)"/>
    <n v="78.367199999999997"/>
    <n v="866324500000"/>
  </r>
  <r>
    <s v="Berkshire Hathaway Inc. Class B"/>
    <s v="BERKSHIRE HATHAWAY INC., (XNYS:BRK.B)"/>
    <x v="3"/>
    <n v="1.6911929999999999"/>
    <n v="302.35000000000002"/>
    <n v="2.3199999999999998"/>
    <s v="(0.77%)"/>
    <n v="58.405200000000001"/>
    <n v="662099900000"/>
  </r>
  <r>
    <s v="Alphabet Inc. Class A"/>
    <s v="ALPHABET INC. (XNAS:GOOGL)"/>
    <x v="1"/>
    <n v="1.6526559999999999"/>
    <n v="88.92"/>
    <n v="0.48"/>
    <s v="(0.54%)"/>
    <n v="17.565100000000001"/>
    <n v="1149000000000"/>
  </r>
  <r>
    <s v="UnitedHealth Group Incorporated"/>
    <s v="UNITEDHEALTH GROUP INCORPORATED (XNYS:UNH)"/>
    <x v="4"/>
    <n v="1.5305550000000001"/>
    <n v="520.54999999999995"/>
    <n v="-3.05"/>
    <s v="(-0.58%)"/>
    <n v="25.647500000000001"/>
    <n v="486375424004"/>
  </r>
  <r>
    <s v="Alphabet Inc. Class C"/>
    <s v="ALPHABET INC. (XNAS:GOOG)"/>
    <x v="1"/>
    <n v="1.4767699999999999"/>
    <n v="89.52"/>
    <n v="0.37"/>
    <s v="(0.42%)"/>
    <n v="17.700700000000001"/>
    <n v="1149000000000"/>
  </r>
  <r>
    <s v="Johnson &amp; Johnson"/>
    <s v="JOHNSON &amp; JOHNSON (XNYS:JNJ)"/>
    <x v="5"/>
    <n v="1.4369080000000001"/>
    <n v="175.77"/>
    <n v="0.28999999999999998"/>
    <s v="(0.17%)"/>
    <n v="24.430399999999999"/>
    <n v="459573997520"/>
  </r>
  <r>
    <s v="Exxon Mobil Corporation"/>
    <s v="EXXON MOBIL CORPORATION (XNYS:XOM)"/>
    <x v="6"/>
    <n v="1.3550310000000001"/>
    <n v="107.04"/>
    <n v="1.87"/>
    <s v="(1.78%)"/>
    <n v="8.5771999999999995"/>
    <n v="440852490000"/>
  </r>
  <r>
    <s v="NVIDIA Corporation"/>
    <s v="NVIDIA CORPORATION (XNAS:NVDA)"/>
    <x v="7"/>
    <n v="1.26759"/>
    <n v="161.18"/>
    <n v="-1.37"/>
    <s v="(-0.84%)"/>
    <n v="69.135900000000007"/>
    <n v="396478199999"/>
  </r>
  <r>
    <s v="Tesla Inc"/>
    <s v="TESLA, INC. (XNAS:TSLA)"/>
    <x v="8"/>
    <n v="1.258499"/>
    <n v="138.22999999999999"/>
    <n v="-11.65"/>
    <s v="(-7.77%)"/>
    <n v="46.17"/>
    <n v="436369748880"/>
  </r>
  <r>
    <s v="JPMorgan Chase &amp; Co."/>
    <s v="JPMORGAN CHASE &amp; CO. (XNYS:JPM)"/>
    <x v="9"/>
    <n v="1.1935150000000001"/>
    <n v="131.12"/>
    <n v="1.06"/>
    <s v="(0.81%)"/>
    <n v="10.9816"/>
    <n v="384557841525"/>
  </r>
  <r>
    <s v="Procter &amp; Gamble Company"/>
    <s v="THE PROCTER &amp; GAMBLE COMPANY (XNYS:PG)"/>
    <x v="10"/>
    <n v="1.1150199999999999"/>
    <n v="150.56"/>
    <n v="0.16"/>
    <s v="(0.11%)"/>
    <n v="26.0716"/>
    <n v="356782032000"/>
  </r>
  <r>
    <s v="Visa Inc. Class A"/>
    <s v="VISA INC. (XNYS:V)"/>
    <x v="1"/>
    <n v="1.047695"/>
    <n v="205.46"/>
    <n v="0.64"/>
    <s v="(0.31%)"/>
    <n v="29.3019"/>
    <n v="386982882700"/>
  </r>
  <r>
    <s v="Home Depot Inc."/>
    <s v="THE HOME DEPOT, INC. (XNYS:HD)"/>
    <x v="11"/>
    <n v="1.0157590000000001"/>
    <n v="315.11"/>
    <n v="-2.23"/>
    <s v="(-0.70%)"/>
    <n v="19.123200000000001"/>
    <n v="321224495515"/>
  </r>
  <r>
    <s v="Chevron Corporation"/>
    <s v="CHEVRON CORPORATION (XNYS:CVX)"/>
    <x v="6"/>
    <n v="0.945465"/>
    <n v="172.72"/>
    <n v="2.84"/>
    <s v="(1.67%)"/>
    <n v="9.6645000000000003"/>
    <n v="334094146420"/>
  </r>
  <r>
    <s v="Mastercard Incorporated Class A"/>
    <s v="MASTERCARD INCORPORATED. (XNYS:MA)"/>
    <x v="1"/>
    <n v="0.90680000000000005"/>
    <n v="342.61"/>
    <n v="1.35"/>
    <s v="(0.40%)"/>
    <n v="34.091500000000003"/>
    <n v="329405742078"/>
  </r>
  <r>
    <s v="Pfizer Inc."/>
    <s v="PFIZER INC. (XNYS:PFE)"/>
    <x v="5"/>
    <n v="0.90195700000000001"/>
    <n v="51.39"/>
    <n v="0.03"/>
    <s v="(0.06%)"/>
    <n v="9.7414000000000005"/>
    <n v="288468206460"/>
  </r>
  <r>
    <s v="AbbVie Inc."/>
    <s v="ABBVIE INC. (XNYS:ABBV)"/>
    <x v="5"/>
    <n v="0.89348399999999994"/>
    <n v="160.56"/>
    <n v="-0.93"/>
    <s v="(-0.57%)"/>
    <n v="21.513100000000001"/>
    <n v="283954222720"/>
  </r>
  <r>
    <s v="Eli Lilly and Company"/>
    <s v="ELI LILLY AND COMPANY (XNYS:LLY)"/>
    <x v="5"/>
    <n v="0.88275999999999999"/>
    <n v="360.1"/>
    <n v="2.3199999999999998"/>
    <s v="(0.65%)"/>
    <n v="53.769300000000001"/>
    <n v="342178065348"/>
  </r>
  <r>
    <s v="Merck &amp; Co. Inc."/>
    <s v="MERCK &amp; CO., INC. (XNYS:MRK)"/>
    <x v="5"/>
    <n v="0.868085"/>
    <n v="109.84"/>
    <n v="0.4"/>
    <s v="(0.37%)"/>
    <n v="18.130500000000001"/>
    <n v="278487896640"/>
  </r>
  <r>
    <s v="Meta Platforms Inc. Class A"/>
    <s v="Meta Platforms, Inc. (XNAS:META)"/>
    <x v="1"/>
    <n v="0.80537300000000001"/>
    <n v="117.1"/>
    <n v="2.62"/>
    <s v="(2.29%)"/>
    <n v="10.9208"/>
    <n v="310522903390"/>
  </r>
  <r>
    <s v="PepsiCo Inc."/>
    <s v="PEPSICO, INC. (XNAS:PEP)"/>
    <x v="12"/>
    <n v="0.78161199999999997"/>
    <n v="181.34"/>
    <n v="0"/>
    <s v="(0.00%)"/>
    <n v="25.718699999999998"/>
    <n v="249833750060"/>
  </r>
  <r>
    <s v="Coca-Cola Company"/>
    <s v="THE COCA-COLA COMPANY (XNYS:KO)"/>
    <x v="12"/>
    <n v="0.76516799999999996"/>
    <n v="62.86"/>
    <n v="0.02"/>
    <s v="(0.03%)"/>
    <n v="27.549299999999999"/>
    <n v="271838887180"/>
  </r>
  <r>
    <s v="Bank of America Corp"/>
    <s v="BANK OF AMERICA CORPORATION (XNYS:BAC)"/>
    <x v="9"/>
    <n v="0.70005099999999998"/>
    <n v="32.229999999999997"/>
    <n v="0.17"/>
    <s v="(0.53%)"/>
    <n v="10.157"/>
    <n v="258601491033"/>
  </r>
  <r>
    <s v="Broadcom Inc."/>
    <s v="Broadcom Inc. (XNAS:AVGO)"/>
    <x v="7"/>
    <n v="0.69643200000000005"/>
    <n v="544.96"/>
    <n v="-4.67"/>
    <s v="(-0.85%)"/>
    <n v="20.715399999999999"/>
    <n v="227731209056"/>
  </r>
  <r>
    <s v="Thermo Fisher Scientific Inc."/>
    <s v="THERMO FISHER SCIENTIFIC INC. (XNYS:TMO)"/>
    <x v="13"/>
    <n v="0.65051999999999999"/>
    <n v="528.54999999999995"/>
    <n v="-1.62"/>
    <s v="(-0.31%)"/>
    <n v="29.798100000000002"/>
    <n v="207294984379"/>
  </r>
  <r>
    <s v="Costco Wholesale Corporation"/>
    <s v="COSTCO WHOLESALE CORPORATION (XNAS:COST)"/>
    <x v="2"/>
    <n v="0.635077"/>
    <n v="457.63"/>
    <n v="-1"/>
    <s v="(-0.22%)"/>
    <n v="34.665300000000002"/>
    <n v="203114956830"/>
  </r>
  <r>
    <s v="Walmart Inc."/>
    <s v="WALMART INC. (XNYS:WMT)"/>
    <x v="14"/>
    <n v="0.63055099999999997"/>
    <n v="144.04"/>
    <n v="1.24"/>
    <s v="(0.87%)"/>
    <n v="44.125300000000003"/>
    <n v="388474040000"/>
  </r>
  <r>
    <s v="McDonald's Corporation"/>
    <s v="MCDONALD'S CORPORATION (XNYS:MCD)"/>
    <x v="15"/>
    <n v="0.60897599999999996"/>
    <n v="267.39"/>
    <n v="1.56"/>
    <s v="(0.59%)"/>
    <n v="33.485300000000002"/>
    <n v="195842899863"/>
  </r>
  <r>
    <s v="Cisco Systems Inc."/>
    <s v="CISCO SYSTEMS, INC. (XNAS:CSCO)"/>
    <x v="16"/>
    <n v="0.60888500000000001"/>
    <n v="47.41"/>
    <n v="0.01"/>
    <s v="(0.01%)"/>
    <n v="17.155100000000001"/>
    <n v="194785703745"/>
  </r>
  <r>
    <s v="Abbott Laboratories"/>
    <s v="ABBOTT LABORATORIES (XNYS:ABT)"/>
    <x v="13"/>
    <n v="0.58122700000000005"/>
    <n v="106.58"/>
    <n v="-0.01"/>
    <s v="(-0.01%)"/>
    <n v="23.9437"/>
    <n v="185847552660"/>
  </r>
  <r>
    <s v="Danaher Corporation"/>
    <s v="DANAHER CORPORATION (XNYS:DHR)"/>
    <x v="13"/>
    <n v="0.53029800000000005"/>
    <n v="256.16000000000003"/>
    <n v="-2.56"/>
    <s v="(-0.99%)"/>
    <n v="28.5594"/>
    <n v="186474925232"/>
  </r>
  <r>
    <s v="NextEra Energy Inc."/>
    <s v="NEXTERA ENERGY, INC. (XNYS:NEE)"/>
    <x v="17"/>
    <n v="0.51923799999999998"/>
    <n v="83.73"/>
    <n v="0.21"/>
    <s v="(0.25%)"/>
    <n v="43.1267"/>
    <n v="166375305900"/>
  </r>
  <r>
    <s v="Linde plc"/>
    <s v="LINDE PUBLIC LIMITED COMPANY (XNYS:LIN)"/>
    <x v="18"/>
    <n v="0.50584600000000002"/>
    <n v="328.9"/>
    <n v="1.85"/>
    <s v="(0.57%)"/>
    <n v="43.292000000000002"/>
    <n v="162003214230"/>
  </r>
  <r>
    <s v="Accenture Plc Class A"/>
    <s v="ACCENTURE PUBLIC LIMITED COMPANY (XNYS:ACN)"/>
    <x v="1"/>
    <n v="0.50281699999999996"/>
    <n v="261.99"/>
    <n v="6.59"/>
    <s v="(2.58%)"/>
    <n v="23.189399999999999"/>
    <n v="172491203115"/>
  </r>
  <r>
    <s v="Wells Fargo &amp; Company"/>
    <s v="WELLS FARGO &amp; COMPANY (XNYS:WFC)"/>
    <x v="9"/>
    <n v="0.49854599999999999"/>
    <n v="41.04"/>
    <n v="-0.79"/>
    <s v="(-1.88%)"/>
    <n v="10.862299999999999"/>
    <n v="156401603095"/>
  </r>
  <r>
    <s v="Walt Disney Company"/>
    <s v="THE WALT DISNEY COMPANY (XNYS:DIS)"/>
    <x v="19"/>
    <n v="0.48924499999999999"/>
    <n v="87.06"/>
    <n v="1.28"/>
    <s v="(1.49%)"/>
    <n v="49.070999999999998"/>
    <n v="158761919520"/>
  </r>
  <r>
    <s v="Philip Morris International Inc."/>
    <s v="Philip Morris International Inc. (XNYS:PM)"/>
    <x v="20"/>
    <n v="0.48794599999999999"/>
    <n v="101.19"/>
    <n v="0.57999999999999996"/>
    <s v="(0.58%)"/>
    <n v="17.920500000000001"/>
    <n v="155965900000"/>
  </r>
  <r>
    <s v="Verizon Communications Inc."/>
    <s v="VERIZON COMMUNICATIONS INC. (XNYS:VZ)"/>
    <x v="21"/>
    <n v="0.48654700000000001"/>
    <n v="37.08"/>
    <n v="0.05"/>
    <s v="(0.14%)"/>
    <n v="8.0521999999999991"/>
    <n v="155750213445"/>
  </r>
  <r>
    <s v="Bristol-Myers Squibb Company"/>
    <s v="BRISTOL-MYERS SQUIBB COMPANY (XNYS:BMY)"/>
    <x v="5"/>
    <n v="0.48642299999999999"/>
    <n v="72.790000000000006"/>
    <n v="-0.37"/>
    <s v="(-0.51%)"/>
    <n v="23.8462"/>
    <n v="154763186400"/>
  </r>
  <r>
    <s v="Adobe Incorporated"/>
    <s v="ADOBE INC. (XNAS:ADBE)"/>
    <x v="1"/>
    <n v="0.47967100000000001"/>
    <n v="338.19"/>
    <n v="9.43"/>
    <s v="(2.87%)"/>
    <n v="32.5456"/>
    <n v="157224531000"/>
  </r>
  <r>
    <s v="Texas Instruments Incorporated"/>
    <s v="TEXAS INSTRUMENTS INCORPORATED (XNAS:TXN)"/>
    <x v="7"/>
    <n v="0.47748099999999999"/>
    <n v="166.86"/>
    <n v="-0.75"/>
    <s v="(-0.45%)"/>
    <n v="17.5532"/>
    <n v="151446489579"/>
  </r>
  <r>
    <s v="Comcast Corporation Class A"/>
    <s v="COMCAST CORPORATION (XNAS:CMCSA)"/>
    <x v="21"/>
    <n v="0.45860699999999999"/>
    <n v="34.44"/>
    <n v="0.46"/>
    <s v="(1.35%)"/>
    <n v="29.546500000000002"/>
    <n v="148876588915"/>
  </r>
  <r>
    <s v="Raytheon Technologies Corporation"/>
    <s v="RAYTHEON TECHNOLOGIES CORPORATION (XNYS:RTX)"/>
    <x v="22"/>
    <n v="0.44901400000000002"/>
    <n v="98.51"/>
    <n v="0.97"/>
    <s v="(0.99%)"/>
    <n v="32.527200000000001"/>
    <n v="144801008500"/>
  </r>
  <r>
    <s v="Amgen Inc."/>
    <s v="AMGEN INC. (XNAS:AMGN)"/>
    <x v="5"/>
    <n v="0.44312299999999999"/>
    <n v="265.05"/>
    <n v="-0.65"/>
    <s v="(-0.24%)"/>
    <n v="21.287400000000002"/>
    <n v="141402489844"/>
  </r>
  <r>
    <s v="Honeywell International Inc."/>
    <s v="HONEYWELL INTERNATIONAL INC. (XNAS:HON)"/>
    <x v="3"/>
    <n v="0.43982599999999999"/>
    <n v="211.68"/>
    <n v="2.27"/>
    <s v="(1.08%)"/>
    <n v="26.786100000000001"/>
    <n v="142313801685"/>
  </r>
  <r>
    <s v="ConocoPhillips"/>
    <s v="CONOCOPHILLIPS (XNYS:COP)"/>
    <x v="6"/>
    <n v="0.430537"/>
    <n v="113.14"/>
    <n v="2.7"/>
    <s v="(2.44%)"/>
    <n v="7.9276999999999997"/>
    <n v="141042776490"/>
  </r>
  <r>
    <s v="United Parcel Service Inc. Class B"/>
    <s v="UNITED PARCEL SERVICE, INC. (XNYS:UPS)"/>
    <x v="23"/>
    <n v="0.40660600000000002"/>
    <n v="173.96"/>
    <n v="-4.47"/>
    <s v="(-2.51%)"/>
    <n v="13.966900000000001"/>
    <n v="154327300000"/>
  </r>
  <r>
    <s v="NIKE Inc. Class B"/>
    <s v="NIKE, INC. (XNYS:NKE)"/>
    <x v="24"/>
    <n v="0.40596100000000002"/>
    <n v="103.17"/>
    <n v="0.12"/>
    <s v="(0.12%)"/>
    <n v="29.2334"/>
    <n v="161403207560"/>
  </r>
  <r>
    <s v="Salesforce Inc."/>
    <s v="SALESFORCE, INC. (XNYS:CRM)"/>
    <x v="1"/>
    <n v="0.403613"/>
    <n v="128.52000000000001"/>
    <n v="-0.49"/>
    <s v="(-0.38%)"/>
    <n v="464.95119999999997"/>
    <n v="128500000000"/>
  </r>
  <r>
    <s v="Netflix Inc."/>
    <s v="NETFLIX, INC. (XNAS:NFLX)"/>
    <x v="1"/>
    <n v="0.40138800000000002"/>
    <n v="287.81"/>
    <n v="-0.49"/>
    <s v="(-0.17%)"/>
    <n v="27.1828"/>
    <n v="128121401949"/>
  </r>
  <r>
    <s v="AT&amp;T Inc."/>
    <s v="AT&amp;T INC. (XNYS:T)"/>
    <x v="21"/>
    <n v="0.39822600000000002"/>
    <n v="18.059999999999999"/>
    <n v="0.2"/>
    <s v="(1.12%)"/>
    <n v="6.5728999999999997"/>
    <n v="128677985000"/>
  </r>
  <r>
    <s v="Union Pacific Corporation"/>
    <s v="UNION PACIFIC CORPORATION (XNYS:UNP)"/>
    <x v="23"/>
    <n v="0.396976"/>
    <n v="206.13"/>
    <n v="-0.26"/>
    <s v="(-0.13%)"/>
    <n v="18.403400000000001"/>
    <n v="126728888904"/>
  </r>
  <r>
    <s v="Lowe's Companies Inc."/>
    <s v="LOWE'S COMPANIES, INC. (XNYS:LOW)"/>
    <x v="11"/>
    <n v="0.394536"/>
    <n v="201.08"/>
    <n v="-2.09"/>
    <s v="(-1.03%)"/>
    <n v="19.921900000000001"/>
    <n v="121569410704"/>
  </r>
  <r>
    <s v="QUALCOMM Incorporated"/>
    <s v="QUALCOMM INCORPORATED (XNAS:QCOM)"/>
    <x v="7"/>
    <n v="0.39426499999999998"/>
    <n v="112.37"/>
    <n v="-0.24"/>
    <s v="(-0.21%)"/>
    <n v="9.8575999999999997"/>
    <n v="125949955000"/>
  </r>
  <r>
    <s v="International Business Machines Corporation"/>
    <s v="INTERNATIONAL BUSINESS MACHINES CORPORATION (XNYS:IBM)"/>
    <x v="1"/>
    <n v="0.39280799999999999"/>
    <n v="141.16999999999999"/>
    <n v="2.2999999999999998"/>
    <s v="(1.66%)"/>
    <n v="85.744500000000002"/>
    <n v="127635509770"/>
  </r>
  <r>
    <s v="CVS Health Corporation"/>
    <s v="CVS HEALTH CORPORATION (XNYS:CVS)"/>
    <x v="4"/>
    <n v="0.39073000000000002"/>
    <n v="95.17"/>
    <n v="0.12"/>
    <s v="(0.13%)"/>
    <n v="40.391300000000001"/>
    <n v="125043669555"/>
  </r>
  <r>
    <s v="Oracle Corporation"/>
    <s v="ORACLE CORPORATION (XNYS:ORCL)"/>
    <x v="1"/>
    <n v="0.387042"/>
    <n v="81.03"/>
    <n v="0.53"/>
    <s v="(0.66%)"/>
    <n v="25.142499999999998"/>
    <n v="218477380590"/>
  </r>
  <r>
    <s v="Caterpillar Inc."/>
    <s v="CATERPILLAR INC. (XNYS:CAT)"/>
    <x v="25"/>
    <n v="0.378193"/>
    <n v="235.27"/>
    <n v="2.98"/>
    <s v="(1.28%)"/>
    <n v="16.9663"/>
    <n v="122428913397"/>
  </r>
  <r>
    <s v="Elevance Health Inc."/>
    <s v="ELEVANCE HEALTH, INC. (XNYS:ELV)"/>
    <x v="4"/>
    <n v="0.376359"/>
    <n v="504.11"/>
    <n v="1.22"/>
    <s v="(0.24%)"/>
    <n v="19.7315"/>
    <n v="120406128678"/>
  </r>
  <r>
    <s v="Charles Schwab Corp"/>
    <s v="THE CHARLES SCHWAB CORPORATION (XNYS:SCHW)"/>
    <x v="26"/>
    <n v="0.37254199999999998"/>
    <n v="79.56"/>
    <n v="1.3"/>
    <s v="(1.66%)"/>
    <n v="23.763500000000001"/>
    <n v="148555089620"/>
  </r>
  <r>
    <s v="Deere &amp; Company"/>
    <s v="DEERE &amp; COMPANY (XNYS:DE)"/>
    <x v="25"/>
    <n v="0.37179200000000001"/>
    <n v="435.55"/>
    <n v="2.88"/>
    <s v="(0.67%)"/>
    <n v="18.549199999999999"/>
    <n v="129956903475"/>
  </r>
  <r>
    <s v="Goldman Sachs Group Inc."/>
    <s v="THE GOLDMAN SACHS GROUP, INC. (XNYS:GS)"/>
    <x v="26"/>
    <n v="0.36657699999999999"/>
    <n v="344.85"/>
    <n v="0.24"/>
    <s v="(0.07%)"/>
    <n v="9.1798000000000002"/>
    <n v="116776448637"/>
  </r>
  <r>
    <s v="Starbucks Corporation"/>
    <s v="STARBUCKS CORPORATION (XNAS:SBUX)"/>
    <x v="15"/>
    <n v="0.35302"/>
    <n v="98.09"/>
    <n v="-0.21"/>
    <s v="(-0.21%)"/>
    <n v="34.695799999999998"/>
    <n v="112828700000"/>
  </r>
  <r>
    <s v="Morgan Stanley"/>
    <s v="MORGAN STANLEY (XNYS:MS)"/>
    <x v="26"/>
    <n v="0.35283599999999998"/>
    <n v="85.34"/>
    <n v="-0.21"/>
    <s v="(-0.25%)"/>
    <n v="12.4183"/>
    <n v="144588900000"/>
  </r>
  <r>
    <s v="Lockheed Martin Corporation"/>
    <s v="LOCKHEED MARTIN CORPORATION (XNYS:LMT)"/>
    <x v="22"/>
    <n v="0.351574"/>
    <n v="487.08"/>
    <n v="5.29"/>
    <s v="(1.10%)"/>
    <n v="22.122299999999999"/>
    <n v="127651003920"/>
  </r>
  <r>
    <s v="S&amp;P Global Inc."/>
    <s v="S&amp;P Global Inc. (XNYS:SPGI)"/>
    <x v="27"/>
    <n v="0.34968900000000003"/>
    <n v="332.64"/>
    <n v="-3.02"/>
    <s v="(-0.90%)"/>
    <n v="28.065200000000001"/>
    <n v="108374112000"/>
  </r>
  <r>
    <s v="Intel Corporation"/>
    <s v="INTEL CORPORATION (XNAS:INTC)"/>
    <x v="7"/>
    <n v="0.34589799999999998"/>
    <n v="26.52"/>
    <n v="-0.28000000000000003"/>
    <s v="(-1.03%)"/>
    <n v="8.2690999999999999"/>
    <n v="109427405000"/>
  </r>
  <r>
    <s v="Gilead Sciences Inc."/>
    <s v="GILEAD SCIENCES, INC. (XNAS:GILD)"/>
    <x v="5"/>
    <n v="0.33910899999999999"/>
    <n v="85.09"/>
    <n v="-1.34"/>
    <s v="(-1.54%)"/>
    <n v="32.680300000000003"/>
    <n v="106711079520"/>
  </r>
  <r>
    <s v="Intuit Inc."/>
    <s v="INTUIT INC. (XNAS:INTU)"/>
    <x v="28"/>
    <n v="0.338204"/>
    <n v="386.89"/>
    <n v="3.37"/>
    <s v="(0.88%)"/>
    <n v="58.426600000000001"/>
    <n v="108687789856"/>
  </r>
  <r>
    <s v="BlackRock Inc."/>
    <s v="BLACKROCK, INC. (XNYS:BLK)"/>
    <x v="26"/>
    <n v="0.32545600000000002"/>
    <n v="692.17"/>
    <n v="-0.3"/>
    <s v="(-0.04%)"/>
    <n v="19.077400000000001"/>
    <n v="104005900000"/>
  </r>
  <r>
    <s v="Boeing Company"/>
    <s v="THE BOEING COMPANY (XNYS:BA)"/>
    <x v="22"/>
    <n v="0.32544000000000001"/>
    <n v="188.48"/>
    <n v="2.8"/>
    <s v="(1.51%)"/>
    <n v="0"/>
    <n v="110662200000"/>
  </r>
  <r>
    <s v="Advanced Micro Devices Inc."/>
    <s v="AMD"/>
    <x v="29"/>
    <n v="0.32527400000000001"/>
    <n v="65.17"/>
    <n v="0.57999999999999996"/>
    <s v="(0.89%)"/>
    <s v="#FIELD!"/>
    <s v="#FIELD!"/>
  </r>
  <r>
    <s v="Prologis Inc."/>
    <s v="PROLOGIS, INC. (XNYS:PLD)"/>
    <x v="30"/>
    <n v="0.32364399999999999"/>
    <n v="112.38"/>
    <n v="0.31"/>
    <s v="(0.28%)"/>
    <n v="20.758500000000002"/>
    <n v="103735573068"/>
  </r>
  <r>
    <s v="Medtronic Plc"/>
    <s v="MEDTRONIC PUBLIC LIMITED COMPANY (XNYS:MDT)"/>
    <x v="13"/>
    <n v="0.32068799999999997"/>
    <n v="76.709999999999994"/>
    <n v="-0.42"/>
    <s v="(-0.54%)"/>
    <n v="23.736000000000001"/>
    <n v="102583500000"/>
  </r>
  <r>
    <s v="Automatic Data Processing Inc."/>
    <s v="AUTOMATIC DATA PROCESSING, INC. (XNAS:ADP)"/>
    <x v="1"/>
    <n v="0.31738499999999997"/>
    <n v="243.89"/>
    <n v="-1.17"/>
    <s v="(-0.48%)"/>
    <n v="33.948"/>
    <n v="101172352142"/>
  </r>
  <r>
    <s v="Cigna Corporation"/>
    <s v="CIGNA CORPORATION (XNYS:CI)"/>
    <x v="4"/>
    <n v="0.31639800000000001"/>
    <n v="330.17"/>
    <n v="-0.61"/>
    <s v="(-0.18%)"/>
    <n v="15.8026"/>
    <n v="101132400000"/>
  </r>
  <r>
    <s v="American Tower Corporation"/>
    <s v="AMERICAN TOWER CORPORATION (XNYS:AMT)"/>
    <x v="30"/>
    <n v="0.30534600000000001"/>
    <n v="209.41"/>
    <n v="-0.21"/>
    <s v="(-0.10%)"/>
    <n v="33.270600000000002"/>
    <n v="97500140668"/>
  </r>
  <r>
    <s v="Intuitive Surgical Inc."/>
    <s v="INTUITIVE SURGICAL, INC. (XNAS:ISRG)"/>
    <x v="13"/>
    <n v="0.29029700000000003"/>
    <n v="261.48"/>
    <n v="0.47"/>
    <s v="(0.18%)"/>
    <n v="69.121399999999994"/>
    <n v="92403005208"/>
  </r>
  <r>
    <s v="TJX Companies Inc"/>
    <s v="THE TJX COMPANIES, INC. (XNYS:TJX)"/>
    <x v="2"/>
    <n v="0.285049"/>
    <n v="77.650000000000006"/>
    <n v="-0.45"/>
    <s v="(-0.57%)"/>
    <n v="27.227699999999999"/>
    <n v="89730663120"/>
  </r>
  <r>
    <s v="Mondelez International Inc. Class A"/>
    <s v="Mondelez International, Inc. (XNAS:MDLZ)"/>
    <x v="20"/>
    <n v="0.28074399999999999"/>
    <n v="65.92"/>
    <n v="0.22"/>
    <s v="(0.33%)"/>
    <n v="29.2255"/>
    <n v="89721130000"/>
  </r>
  <r>
    <s v="Applied Materials Inc."/>
    <s v="APPLIED MATERIALS, INC. (XNAS:AMAT)"/>
    <x v="7"/>
    <n v="0.27989000000000003"/>
    <n v="103.89"/>
    <n v="-0.1"/>
    <s v="(-0.10%)"/>
    <n v="13.9818"/>
    <n v="87697673433"/>
  </r>
  <r>
    <s v="Chubb Limited"/>
    <s v="Chubb Ltd (XNYS:CB)"/>
    <x v="31"/>
    <n v="0.27599099999999999"/>
    <n v="214.83"/>
    <n v="2.87"/>
    <s v="(1.35%)"/>
    <n v="14.791700000000001"/>
    <n v="89156954943"/>
  </r>
  <r>
    <s v="American Express Company"/>
    <s v="AMERICAN EXPRESS COMPANY (XNYS:AXP)"/>
    <x v="9"/>
    <n v="0.271171"/>
    <n v="145.63999999999999"/>
    <n v="0.63"/>
    <s v="(0.43%)"/>
    <n v="14.5694"/>
    <n v="108826970427"/>
  </r>
  <r>
    <s v="Analog Devices Inc."/>
    <s v="ANALOG DEVICES, INC. (XNAS:ADI)"/>
    <x v="7"/>
    <n v="0.26769199999999999"/>
    <n v="164.72"/>
    <n v="-0.43"/>
    <s v="(-0.26%)"/>
    <n v="31.331299999999999"/>
    <n v="83888674168"/>
  </r>
  <r>
    <s v="Citigroup Inc."/>
    <s v="CITIGROUP INC. (XNYS:C)"/>
    <x v="26"/>
    <n v="0.26619300000000001"/>
    <n v="43.93"/>
    <n v="-0.01"/>
    <s v="(-0.01%)"/>
    <n v="5.9219999999999997"/>
    <n v="85076268025"/>
  </r>
  <r>
    <s v="General Electric Company"/>
    <s v="GENERAL ELECTRIC COMPANY (XNYS:GE)"/>
    <x v="3"/>
    <n v="0.26601799999999998"/>
    <n v="80.39"/>
    <n v="2.33"/>
    <s v="(2.98%)"/>
    <n v="0"/>
    <n v="87834117180"/>
  </r>
  <r>
    <s v="T-Mobile US Inc."/>
    <s v="T-MOBILE US, INC. (XNAS:TMUS)"/>
    <x v="21"/>
    <n v="0.265795"/>
    <n v="140.38"/>
    <n v="-1.24"/>
    <s v="(-0.88%)"/>
    <n v="115.96129999999999"/>
    <n v="174654338520"/>
  </r>
  <r>
    <s v="Altria Group Inc"/>
    <s v="Altria Group, Inc. (XNYS:MO)"/>
    <x v="20"/>
    <n v="0.26040600000000003"/>
    <n v="46.51"/>
    <n v="0.13"/>
    <s v="(0.28%)"/>
    <n v="18.018799999999999"/>
    <n v="83353966230"/>
  </r>
  <r>
    <s v="Marsh &amp; McLennan Companies Inc."/>
    <s v="MARSH &amp; MCLENNAN COMPANIES, INC. (XNYS:MMC)"/>
    <x v="31"/>
    <n v="0.25469399999999998"/>
    <n v="165"/>
    <n v="1.27"/>
    <s v="(0.78%)"/>
    <n v="24.562000000000001"/>
    <n v="81846527595"/>
  </r>
  <r>
    <s v="Stryker Corporation"/>
    <s v="STRYKER CORPORATION (XNYS:SYK)"/>
    <x v="13"/>
    <n v="0.25089299999999998"/>
    <n v="238.89"/>
    <n v="-0.14000000000000001"/>
    <s v="(-0.06%)"/>
    <n v="37.178600000000003"/>
    <n v="90395976000"/>
  </r>
  <r>
    <s v="PayPal Holdings Inc."/>
    <s v="PAYPAL HOLDINGS, INC. (XNAS:PYPL)"/>
    <x v="1"/>
    <n v="0.245919"/>
    <n v="68.8"/>
    <n v="-0.15"/>
    <s v="(-0.22%)"/>
    <n v="35.063400000000001"/>
    <n v="78433926400"/>
  </r>
  <r>
    <s v="Duke Energy Corporation"/>
    <s v="DUKE ENERGY CORPORATION (XNYS:DUK)"/>
    <x v="17"/>
    <n v="0.24147199999999999"/>
    <n v="100.54"/>
    <n v="0.31"/>
    <s v="(0.31%)"/>
    <n v="20.253599999999999"/>
    <n v="77422103858"/>
  </r>
  <r>
    <s v="Northrop Grumman Corp."/>
    <s v="NORTHROP GRUMMAN CORPORATION (XNYS:NOC)"/>
    <x v="22"/>
    <n v="0.24118500000000001"/>
    <n v="530.89"/>
    <n v="-1.63"/>
    <s v="(-0.31%)"/>
    <n v="15.1351"/>
    <n v="81710447858"/>
  </r>
  <r>
    <s v="Regeneron Pharmaceuticals Inc."/>
    <s v="REGENERON PHARMACEUTICALS, INC. (XNAS:REGN)"/>
    <x v="32"/>
    <n v="0.240866"/>
    <n v="733.5"/>
    <n v="12.4"/>
    <s v="(1.72%)"/>
    <n v="15.211600000000001"/>
    <n v="78529190000"/>
  </r>
  <r>
    <s v="ServiceNow Inc."/>
    <s v="SERVICENOW, INC. (XNYS:NOW)"/>
    <x v="1"/>
    <n v="0.240788"/>
    <n v="385.65"/>
    <n v="3.35"/>
    <s v="(0.88%)"/>
    <n v="386.42309999999998"/>
    <n v="77901118200"/>
  </r>
  <r>
    <s v="Southern Company"/>
    <s v="THE SOUTHERN COMPANY (XNYS:SO)"/>
    <x v="17"/>
    <n v="0.234704"/>
    <n v="69.540000000000006"/>
    <n v="0.63"/>
    <s v="(0.91%)"/>
    <n v="21.883800000000001"/>
    <n v="75706320420"/>
  </r>
  <r>
    <s v="Booking Holdings Inc."/>
    <s v="BOOKING HOLDINGS INC. (XNAS:BKNG)"/>
    <x v="15"/>
    <n v="0.23438400000000001"/>
    <n v="1958.18"/>
    <n v="26.74"/>
    <s v="(1.38%)"/>
    <n v="31.713899999999999"/>
    <n v="75956607710"/>
  </r>
  <r>
    <s v="Vertex Pharmaceuticals Incorporated"/>
    <s v="VERTEX PHARMACEUTICALS INCORPORATED (XNAS:VRTX)"/>
    <x v="32"/>
    <n v="0.23416799999999999"/>
    <n v="293.10000000000002"/>
    <n v="1.51"/>
    <s v="(0.52%)"/>
    <n v="23.013100000000001"/>
    <n v="75236249340"/>
  </r>
  <r>
    <s v="Progressive Corporation"/>
    <s v="THE PROGRESSIVE CORPORATION (XNYS:PGR)"/>
    <x v="31"/>
    <n v="0.23259199999999999"/>
    <n v="127.16"/>
    <n v="0.09"/>
    <s v="(0.07%)"/>
    <n v="89.962299999999999"/>
    <n v="74388600000"/>
  </r>
  <r>
    <s v="EOG Resources Inc."/>
    <s v="EOG RESOURCES, INC. (XNYS:EOG)"/>
    <x v="6"/>
    <n v="0.230682"/>
    <n v="126.88"/>
    <n v="1.35"/>
    <s v="(1.07%)"/>
    <n v="9.8589000000000002"/>
    <n v="74525042812"/>
  </r>
  <r>
    <s v="Schlumberger NV"/>
    <s v="Schlumberger N.V. (XNYS:SLB)"/>
    <x v="33"/>
    <n v="0.22105900000000001"/>
    <n v="51.99"/>
    <n v="2.16"/>
    <s v="(4.33%)"/>
    <n v="24.065999999999999"/>
    <n v="73728910000"/>
  </r>
  <r>
    <s v="Becton Dickinson and Company"/>
    <s v="BECTON, DICKINSON AND COMPANY (XNYS:BDX)"/>
    <x v="13"/>
    <n v="0.220915"/>
    <n v="249.05"/>
    <n v="0.59"/>
    <s v="(0.24%)"/>
    <n v="41.490699999999997"/>
    <n v="70583244264"/>
  </r>
  <r>
    <s v="Air Products and Chemicals Inc."/>
    <s v="AIR PRODUCTS AND CHEMICALS, INC. (XNYS:APD)"/>
    <x v="18"/>
    <n v="0.217691"/>
    <n v="312.63"/>
    <n v="-1.0900000000000001"/>
    <s v="(-0.35%)"/>
    <n v="31.116800000000001"/>
    <n v="69400014651"/>
  </r>
  <r>
    <s v="3M Company"/>
    <s v="3M COMPANY (XNYS:MMM)"/>
    <x v="3"/>
    <n v="0.21119599999999999"/>
    <n v="121.12"/>
    <n v="-1.01"/>
    <s v="(-0.83%)"/>
    <n v="10.643599999999999"/>
    <n v="66948220048"/>
  </r>
  <r>
    <s v="Target Corporation"/>
    <s v="TARGET CORPORATION (XNYS:TGT)"/>
    <x v="2"/>
    <n v="0.20912800000000001"/>
    <n v="143.47"/>
    <n v="-1.18"/>
    <s v="(-0.82%)"/>
    <n v="19.801300000000001"/>
    <n v="66040690047"/>
  </r>
  <r>
    <s v="Zoetis Inc. Class A"/>
    <s v="ZOETIS INC. (XNYS:ZTS)"/>
    <x v="5"/>
    <n v="0.20876700000000001"/>
    <n v="142.56"/>
    <n v="-0.63"/>
    <s v="(-0.44%)"/>
    <n v="32.727699999999999"/>
    <n v="66443224320"/>
  </r>
  <r>
    <s v="Boston Scientific Corporation"/>
    <s v="BOSTON SCIENTIFIC CORPORATION (XNYS:BSX)"/>
    <x v="13"/>
    <n v="0.205232"/>
    <n v="45.85"/>
    <n v="0.05"/>
    <s v="(0.10%)"/>
    <n v="110.3455"/>
    <n v="65664297795"/>
  </r>
  <r>
    <s v="CSX Corporation"/>
    <s v="CSX Corporation (XNAS:CSX)"/>
    <x v="23"/>
    <n v="0.20508499999999999"/>
    <n v="30.84"/>
    <n v="-0.34"/>
    <s v="(-1.09%)"/>
    <n v="16.581800000000001"/>
    <n v="64838293560"/>
  </r>
  <r>
    <s v="Colgate-Palmolive Company"/>
    <s v="COLGATE-PALMOLIVE COMPANY (XNYS:CL)"/>
    <x v="10"/>
    <n v="0.203124"/>
    <n v="77.75"/>
    <n v="-0.24"/>
    <s v="(-0.30%)"/>
    <n v="34.009900000000002"/>
    <n v="64937904050"/>
  </r>
  <r>
    <s v="Humana Inc."/>
    <s v="HUMANA INC. (XNYS:HUM)"/>
    <x v="4"/>
    <n v="0.199961"/>
    <n v="501.34"/>
    <n v="-3.51"/>
    <s v="(-0.69%)"/>
    <n v="22.898800000000001"/>
    <n v="63492582456"/>
  </r>
  <r>
    <s v="Fiserv Inc."/>
    <s v="FISERV, INC. (XNAS:FISV)"/>
    <x v="27"/>
    <n v="0.19675699999999999"/>
    <n v="99.51"/>
    <n v="0.84"/>
    <s v="(0.85%)"/>
    <n v="30.9894"/>
    <n v="63185295950"/>
  </r>
  <r>
    <s v="Moderna Inc."/>
    <s v="MODERNA, INC. (XNAS:MRNA)"/>
    <x v="32"/>
    <n v="0.19627900000000001"/>
    <n v="201.12"/>
    <n v="11.23"/>
    <s v="(5.91%)"/>
    <n v="6.8666"/>
    <n v="77204913280"/>
  </r>
  <r>
    <s v="Aon Plc Class A"/>
    <s v="Aon plc (XNYS:AON)"/>
    <x v="31"/>
    <n v="0.192243"/>
    <n v="297.81"/>
    <n v="0.75"/>
    <s v="(0.25%)"/>
    <n v="23.064299999999999"/>
    <n v="61597690826"/>
  </r>
  <r>
    <s v="CME Group Inc. Class A"/>
    <s v="CME GROUP INC. (XNAS:CME)"/>
    <x v="26"/>
    <n v="0.19208500000000001"/>
    <n v="169.58"/>
    <n v="-1.1000000000000001"/>
    <s v="(-0.64%)"/>
    <n v="23.296500000000002"/>
    <n v="61002165500"/>
  </r>
  <r>
    <s v="Eaton Corp. Plc"/>
    <s v="EATON CORPORATION PUBLIC LIMITED COMPANY (XNYS:ETN)"/>
    <x v="25"/>
    <n v="0.19185099999999999"/>
    <n v="156.08000000000001"/>
    <n v="1.58"/>
    <s v="(1.02%)"/>
    <n v="27.044799999999999"/>
    <n v="62076993000"/>
  </r>
  <r>
    <s v="Illinois Tool Works Inc."/>
    <s v="ILLINOIS TOOL WORKS INC. (XNYS:ITW)"/>
    <x v="3"/>
    <n v="0.19084300000000001"/>
    <n v="218.05"/>
    <n v="0.76"/>
    <s v="(0.35%)"/>
    <n v="24.802399999999999"/>
    <n v="66981994520"/>
  </r>
  <r>
    <s v="Equinix Inc."/>
    <s v="EQUINIX, INC. (XNAS:EQIX)"/>
    <x v="30"/>
    <n v="0.19054399999999999"/>
    <n v="653.27"/>
    <n v="-4.92"/>
    <s v="(-0.75%)"/>
    <n v="86.140299999999996"/>
    <n v="60493973537"/>
  </r>
  <r>
    <s v="PNC Financial Services Group Inc."/>
    <s v="THE PNC FINANCIAL SERVICES GROUP, INC. (XNYS:PNC)"/>
    <x v="9"/>
    <n v="0.189471"/>
    <n v="151.99"/>
    <n v="1.83"/>
    <s v="(1.22%)"/>
    <n v="11.760999999999999"/>
    <n v="61300454810"/>
  </r>
  <r>
    <s v="Lam Research Corporation"/>
    <s v="LAM RESEARCH CORPORATION (XNAS:LRCX)"/>
    <x v="7"/>
    <n v="0.18732299999999999"/>
    <n v="439.41"/>
    <n v="0.72"/>
    <s v="(0.16%)"/>
    <n v="12.5806"/>
    <n v="59942793729"/>
  </r>
  <r>
    <s v="Waste Management Inc."/>
    <s v="WASTE MANAGEMENT, INC. (XNYS:WM)"/>
    <x v="27"/>
    <n v="0.184812"/>
    <n v="157.78"/>
    <n v="0.19"/>
    <s v="(0.12%)"/>
    <n v="29.2788"/>
    <n v="64777391151"/>
  </r>
  <r>
    <s v="Crown Castle Inc."/>
    <s v="CROWN CASTLE INC. (XNYS:CCI)"/>
    <x v="30"/>
    <n v="0.18047099999999999"/>
    <n v="134.16"/>
    <n v="0.95"/>
    <s v="(0.71%)"/>
    <n v="35.819699999999997"/>
    <n v="58097719680"/>
  </r>
  <r>
    <s v="Norfolk Southern Corporation"/>
    <s v="NORFOLK SOUTHERN CORPORATION (XNYS:NSC)"/>
    <x v="23"/>
    <n v="0.178898"/>
    <n v="243.31"/>
    <n v="-3.7"/>
    <s v="(-1.50%)"/>
    <n v="18.1769"/>
    <n v="56328562431"/>
  </r>
  <r>
    <s v="U.S. Bancorp"/>
    <s v="U.S. BANCORP (XNYS:USB)"/>
    <x v="9"/>
    <n v="0.17683399999999999"/>
    <n v="42.04"/>
    <n v="0.09"/>
    <s v="(0.20%)"/>
    <n v="9.9960000000000004"/>
    <n v="64323722469"/>
  </r>
  <r>
    <s v="Micron Technology Inc."/>
    <s v="MICRON TECHNOLOGY, INC. (XNAS:MU)"/>
    <x v="7"/>
    <n v="0.17591200000000001"/>
    <n v="50.95"/>
    <n v="-0.78"/>
    <s v="(-1.50%)"/>
    <n v="6.6875999999999998"/>
    <n v="55575543885"/>
  </r>
  <r>
    <s v="Sherwin-Williams Company"/>
    <s v="THE SHERWIN-WILLIAMS COMPANY (XNYS:SHW)"/>
    <x v="18"/>
    <n v="0.17510300000000001"/>
    <n v="238.54"/>
    <n v="0.43"/>
    <s v="(0.18%)"/>
    <n v="32.213000000000001"/>
    <n v="61816066636"/>
  </r>
  <r>
    <s v="Emerson Electric Co."/>
    <s v="EMERSON ELECTRIC CO. (XNYS:EMR)"/>
    <x v="25"/>
    <n v="0.174593"/>
    <n v="95.28"/>
    <n v="0.7"/>
    <s v="(0.74%)"/>
    <n v="17.458200000000001"/>
    <n v="56360420000"/>
  </r>
  <r>
    <s v="Intercontinental Exchange Inc."/>
    <s v="INTERCONTINENTAL EXCHANGE, INC. (XNYS:ICE)"/>
    <x v="26"/>
    <n v="0.17441499999999999"/>
    <n v="100.48"/>
    <n v="0.2"/>
    <s v="(0.20%)"/>
    <n v="22.203900000000001"/>
    <n v="56123264768"/>
  </r>
  <r>
    <s v="Dollar General Corporation"/>
    <s v="DOLLAR GENERAL CORPORATION (XNYS:DG)"/>
    <x v="2"/>
    <n v="0.17136199999999999"/>
    <n v="241.3"/>
    <n v="-1.1499999999999999"/>
    <s v="(-0.47%)"/>
    <n v="23.5639"/>
    <n v="53947481366"/>
  </r>
  <r>
    <s v="General Dynamics Corporation"/>
    <s v="GENERAL DYNAMICS CORPORATION (XNYS:GD)"/>
    <x v="22"/>
    <n v="0.171262"/>
    <n v="247.28"/>
    <n v="2.98"/>
    <s v="(1.22%)"/>
    <n v="20.3445"/>
    <n v="67890421810"/>
  </r>
  <r>
    <s v="Truist Financial Corporation"/>
    <s v="Truist Financial Corporation (XNYS:TFC)"/>
    <x v="9"/>
    <n v="0.170682"/>
    <n v="41.17"/>
    <n v="0.05"/>
    <s v="(0.12%)"/>
    <n v="9.4303000000000008"/>
    <n v="54629590050"/>
  </r>
  <r>
    <s v="Estee Lauder Companies Inc. Class A"/>
    <s v="THE ESTEE LAUDER COMPANIES INC. (XNYS:EL)"/>
    <x v="10"/>
    <n v="0.17019500000000001"/>
    <n v="238.15"/>
    <n v="1.91"/>
    <s v="(0.81%)"/>
    <n v="39.367400000000004"/>
    <n v="84973065183"/>
  </r>
  <r>
    <s v="KLA Corporation"/>
    <s v="KLA Corporation (XNAS:KLAC)"/>
    <x v="7"/>
    <n v="0.16961399999999999"/>
    <n v="387.45"/>
    <n v="3.79"/>
    <s v="(0.99%)"/>
    <n v="17.3309"/>
    <n v="54908046743"/>
  </r>
  <r>
    <s v="Activision Blizzard Inc."/>
    <s v="ACTIVISION BLIZZARD, INC. (XNAS:ATVI)"/>
    <x v="1"/>
    <n v="0.168658"/>
    <n v="75.959999999999994"/>
    <n v="-0.03"/>
    <s v="(-0.04%)"/>
    <n v="35.6997"/>
    <n v="59448217787"/>
  </r>
  <r>
    <s v="McKesson Corporation"/>
    <s v="MCKESSON CORPORATION (XNYS:MCK)"/>
    <x v="5"/>
    <n v="0.168321"/>
    <n v="376.42"/>
    <n v="0.88"/>
    <s v="(0.23%)"/>
    <n v="26.5306"/>
    <n v="53451640000"/>
  </r>
  <r>
    <s v="Freeport-McMoRan Inc."/>
    <s v="FREEPORT-MCMORAN INC. (XNYS:FCX)"/>
    <x v="34"/>
    <n v="0.16656199999999999"/>
    <n v="37.880000000000003"/>
    <n v="0.52"/>
    <s v="(1.39%)"/>
    <n v="14.1495"/>
    <n v="54157200030"/>
  </r>
  <r>
    <s v="Marathon Petroleum Corporation"/>
    <s v="MARATHON PETROLEUM CORPORATION (XNYS:MPC)"/>
    <x v="6"/>
    <n v="0.162852"/>
    <n v="113.38"/>
    <n v="2.31"/>
    <s v="(2.08%)"/>
    <n v="4.875"/>
    <n v="53141448112"/>
  </r>
  <r>
    <s v="Pioneer Natural Resources Company"/>
    <s v="PIONEER NATURAL RESOURCES COMPANY (XNYS:PXD)"/>
    <x v="6"/>
    <n v="0.162245"/>
    <n v="220.13"/>
    <n v="2.06"/>
    <s v="(0.94%)"/>
    <n v="7.7803000000000004"/>
    <n v="52290721896"/>
  </r>
  <r>
    <s v="General Mills Inc."/>
    <s v="GENERAL MILLS, INC. (XNYS:GIS)"/>
    <x v="20"/>
    <n v="0.16183700000000001"/>
    <n v="83.44"/>
    <n v="-3.68"/>
    <s v="(-4.22%)"/>
    <n v="18.3231"/>
    <n v="49526628485"/>
  </r>
  <r>
    <s v="HCA Healthcare Inc"/>
    <s v="HCA HEALTHCARE, INC. (XNYS:HCA)"/>
    <x v="4"/>
    <n v="0.16022"/>
    <n v="238.76"/>
    <n v="0.09"/>
    <s v="(0.04%)"/>
    <n v="13.4773"/>
    <n v="67504266459"/>
  </r>
  <r>
    <s v="O'Reilly Automotive Inc."/>
    <s v="O'Reilly Automotive, Inc. (XNAS:ORLY)"/>
    <x v="11"/>
    <n v="0.15984200000000001"/>
    <n v="823.42"/>
    <n v="6.99"/>
    <s v="(0.86%)"/>
    <n v="24.920999999999999"/>
    <n v="51526255812"/>
  </r>
  <r>
    <s v="Archer-Daniels-Midland Company"/>
    <s v="ARCHER-DANIELS-MIDLAND COMPANY (XNYS:ADM)"/>
    <x v="20"/>
    <n v="0.15922900000000001"/>
    <n v="92.94"/>
    <n v="0.28999999999999998"/>
    <s v="(0.31%)"/>
    <n v="12.7889"/>
    <n v="51066107232"/>
  </r>
  <r>
    <s v="General Motors Company"/>
    <s v="GENERAL MOTORS COMPANY (XNYS:GM)"/>
    <x v="8"/>
    <n v="0.15743099999999999"/>
    <n v="35.19"/>
    <n v="-0.23"/>
    <s v="(-0.65%)"/>
    <n v="6.0118999999999998"/>
    <n v="49987223945"/>
  </r>
  <r>
    <s v="Sempra Energy"/>
    <s v="SEMPRA ENERGY (XNYS:SRE)"/>
    <x v="35"/>
    <n v="0.154671"/>
    <n v="156.91999999999999"/>
    <n v="-0.36"/>
    <s v="(-0.23%)"/>
    <n v="22.075900000000001"/>
    <n v="49325197127"/>
  </r>
  <r>
    <s v="Synopsys Inc."/>
    <s v="SYNOPSYS, INC. (XNAS:SNPS)"/>
    <x v="1"/>
    <n v="0.153863"/>
    <n v="325.05"/>
    <n v="1.66"/>
    <s v="(0.51%)"/>
    <n v="51.388399999999997"/>
    <n v="49543210860"/>
  </r>
  <r>
    <s v="Dominion Energy Inc"/>
    <s v="Dominion Energy, Inc. (XNYS:D)"/>
    <x v="17"/>
    <n v="0.153784"/>
    <n v="59.72"/>
    <n v="0.47"/>
    <s v="(0.79%)"/>
    <n v="28.017499999999998"/>
    <n v="49763194944"/>
  </r>
  <r>
    <s v="American Electric Power Company Inc."/>
    <s v="AMERICAN ELECTRIC POWER COMPANY, INC. (XNAS:AEP)"/>
    <x v="17"/>
    <n v="0.151118"/>
    <n v="93.88"/>
    <n v="-0.12"/>
    <s v="(-0.13%)"/>
    <n v="19.493200000000002"/>
    <n v="48241524156"/>
  </r>
  <r>
    <s v="Phillips 66"/>
    <s v="PHILLIPS 66 (XNYS:PSX)"/>
    <x v="6"/>
    <n v="0.15046399999999999"/>
    <n v="102.88"/>
    <n v="2.27"/>
    <s v="(2.26%)"/>
    <n v="4.6044"/>
    <n v="48629127058"/>
  </r>
  <r>
    <s v="MetLife Inc."/>
    <s v="METLIFE, INC. (XNYS:MET)"/>
    <x v="31"/>
    <n v="0.14865400000000001"/>
    <n v="71.89"/>
    <n v="0.73"/>
    <s v="(1.02%)"/>
    <n v="26.7363"/>
    <n v="56405339718"/>
  </r>
  <r>
    <s v="Centene Corporation"/>
    <s v="CENTENE CORPORATION (XNYS:CNC)"/>
    <x v="4"/>
    <n v="0.14510300000000001"/>
    <n v="80.349999999999994"/>
    <n v="-1.08"/>
    <s v="(-1.32%)"/>
    <n v="23.763500000000001"/>
    <n v="45496135596"/>
  </r>
  <r>
    <s v="Valero Energy Corporation"/>
    <s v="VALERO ENERGY CORPORATION (XNYS:VLO)"/>
    <x v="6"/>
    <n v="0.14438500000000001"/>
    <n v="122.1"/>
    <n v="2.39"/>
    <s v="(2.00%)"/>
    <n v="5.1040000000000001"/>
    <n v="47058901614"/>
  </r>
  <r>
    <s v="Ford Motor Company"/>
    <s v="FORD MOTOR COMPANY (XNYS:F)"/>
    <x v="8"/>
    <n v="0.14393500000000001"/>
    <n v="11.52"/>
    <n v="-0.18"/>
    <s v="(-1.50%)"/>
    <n v="5.2949000000000002"/>
    <n v="46295988410"/>
  </r>
  <r>
    <s v="American International Group Inc."/>
    <s v="AMERICAN INTERNATIONAL GROUP, INC. (XNYS:AIG)"/>
    <x v="31"/>
    <n v="0.14288300000000001"/>
    <n v="62.7"/>
    <n v="1.23"/>
    <s v="(2.00%)"/>
    <n v="3.6473"/>
    <n v="46584846000"/>
  </r>
  <r>
    <s v="Kimberly-Clark Corporation"/>
    <s v="KIMBERLY-CLARK CORPORATION (XNYS:KMB)"/>
    <x v="10"/>
    <n v="0.142792"/>
    <n v="135.55000000000001"/>
    <n v="-0.11"/>
    <s v="(-0.08%)"/>
    <n v="25.748799999999999"/>
    <n v="45747054155"/>
  </r>
  <r>
    <s v="Edwards Lifesciences Corporation"/>
    <s v="EDWARDS LIFESCIENCES CORPORATION (XNYS:EW)"/>
    <x v="13"/>
    <n v="0.14210900000000001"/>
    <n v="73.31"/>
    <n v="-0.12"/>
    <s v="(-0.16%)"/>
    <n v="31.6126"/>
    <n v="45327768557"/>
  </r>
  <r>
    <s v="Occidental Petroleum Corporation"/>
    <s v="OCCIDENTAL PETROLEUM CORPORATION (XNYS:OXY)"/>
    <x v="6"/>
    <n v="0.14197399999999999"/>
    <n v="62.61"/>
    <n v="0.2"/>
    <s v="(0.31%)"/>
    <n v="5.1662999999999997"/>
    <n v="56893478089"/>
  </r>
  <r>
    <s v="Amphenol Corporation Class A"/>
    <s v="AMPHENOL CORPORATION (XNYS:APH)"/>
    <x v="36"/>
    <n v="0.141401"/>
    <n v="76.27"/>
    <n v="0.32"/>
    <s v="(0.42%)"/>
    <n v="25.595199999999998"/>
    <n v="45396783932"/>
  </r>
  <r>
    <s v="AutoZone Inc."/>
    <s v="AUTOZONE, INC. (XNYS:AZO)"/>
    <x v="11"/>
    <n v="0.14128499999999999"/>
    <n v="2385.54"/>
    <n v="6.37"/>
    <s v="(0.27%)"/>
    <n v="20.002400000000002"/>
    <n v="44840995380"/>
  </r>
  <r>
    <s v="Roper Technologies Inc."/>
    <s v="ROPER TECHNOLOGIES, INC. (XNYS:ROP)"/>
    <x v="1"/>
    <n v="0.140461"/>
    <n v="425.21"/>
    <n v="1.86"/>
    <s v="(0.44%)"/>
    <n v="48.192100000000003"/>
    <n v="44897140000"/>
  </r>
  <r>
    <s v="Public Storage"/>
    <s v="PUBLIC STORAGE (XNYS:PSA)"/>
    <x v="30"/>
    <n v="0.140123"/>
    <n v="283.51"/>
    <n v="-0.92"/>
    <s v="(-0.32%)"/>
    <n v="11.5608"/>
    <n v="49795242784"/>
  </r>
  <r>
    <s v="Cadence Design Systems Inc."/>
    <s v="CADENCE DESIGN SYSTEMS, INC. (XNAS:CDNS)"/>
    <x v="1"/>
    <n v="0.13752300000000001"/>
    <n v="162.74"/>
    <n v="1.79"/>
    <s v="(1.11%)"/>
    <n v="56.648400000000002"/>
    <n v="44644929000"/>
  </r>
  <r>
    <s v="DexCom Inc."/>
    <s v="DEXCOM, INC. (XNAS:DXCM)"/>
    <x v="13"/>
    <n v="0.13694200000000001"/>
    <n v="113.05"/>
    <n v="0.82"/>
    <s v="(0.73%)"/>
    <n v="209.62970000000001"/>
    <n v="43658753043"/>
  </r>
  <r>
    <s v="Moody's Corporation"/>
    <s v="MOODY'S CORPORATION (XNYS:MCO)"/>
    <x v="27"/>
    <n v="0.136904"/>
    <n v="276.06"/>
    <n v="-2.2599999999999998"/>
    <s v="(-0.81%)"/>
    <n v="33.259"/>
    <n v="50574192000"/>
  </r>
  <r>
    <s v="Agilent Technologies Inc."/>
    <s v="AGILENT TECHNOLOGIES, INC. (XNYS:A)"/>
    <x v="13"/>
    <n v="0.136683"/>
    <n v="148.11000000000001"/>
    <n v="1.1599999999999999"/>
    <s v="(0.79%)"/>
    <n v="35.159500000000001"/>
    <n v="43692450000"/>
  </r>
  <r>
    <s v="Johnson Controls International plc"/>
    <s v="JOHNSON CONTROLS INTERNATIONAL PLC (XNYS:JCI)"/>
    <x v="25"/>
    <n v="0.13627500000000001"/>
    <n v="63.28"/>
    <n v="-0.19"/>
    <s v="(-0.29%)"/>
    <n v="28.830300000000001"/>
    <n v="43447755753"/>
  </r>
  <r>
    <s v="Travelers Companies Inc."/>
    <s v="The Travelers Companies, Inc. (XNYS:TRV)"/>
    <x v="31"/>
    <n v="0.13581699999999999"/>
    <n v="185.67"/>
    <n v="2.16"/>
    <s v="(1.18%)"/>
    <n v="13.4077"/>
    <n v="43504269900"/>
  </r>
  <r>
    <s v="Motorola Solutions Inc."/>
    <s v="MOTOROLA SOLUTIONS, INC. (XNYS:MSI)"/>
    <x v="16"/>
    <n v="0.13231999999999999"/>
    <n v="256.05"/>
    <n v="1.46"/>
    <s v="(0.57%)"/>
    <n v="37.410299999999999"/>
    <n v="42809035295"/>
  </r>
  <r>
    <s v="NXP Semiconductors NV"/>
    <s v="NXP Semiconductors NV (XNAS:NXPI)"/>
    <x v="7"/>
    <n v="0.13109599999999999"/>
    <n v="160.04"/>
    <n v="-0.23"/>
    <s v="(-0.14%)"/>
    <n v="15.9695"/>
    <n v="41466766698"/>
  </r>
  <r>
    <s v="Corteva Inc"/>
    <s v="CORTEVA, INC. (XNYS:CTVA)"/>
    <x v="20"/>
    <n v="0.13048399999999999"/>
    <n v="58.87"/>
    <n v="0.56999999999999995"/>
    <s v="(0.98%)"/>
    <n v="30.4254"/>
    <n v="42062144040"/>
  </r>
  <r>
    <s v="Exelon Corporation"/>
    <s v="EXELON CORPORATION (XNAS:EXC)"/>
    <x v="17"/>
    <n v="0.12914300000000001"/>
    <n v="42.12"/>
    <n v="0.35"/>
    <s v="(0.83%)"/>
    <n v="20.4344"/>
    <n v="41851444330"/>
  </r>
  <r>
    <s v="Enphase Energy Inc."/>
    <s v="ENPHASE ENERGY, INC. (XNAS:ENPH)"/>
    <x v="37"/>
    <n v="0.12878899999999999"/>
    <n v="302.07"/>
    <n v="-2.94"/>
    <s v="(-0.96%)"/>
    <n v="148.7679"/>
    <n v="41058441852"/>
  </r>
  <r>
    <s v="Biogen Inc."/>
    <s v="BIOGEN INC. (XNAS:BIIB)"/>
    <x v="5"/>
    <n v="0.128499"/>
    <n v="287.69"/>
    <n v="3.31"/>
    <s v="(1.16%)"/>
    <n v="14.488799999999999"/>
    <n v="41426322752"/>
  </r>
  <r>
    <s v="Autodesk Inc."/>
    <s v="AUTODESK, INC. (XNAS:ADSK)"/>
    <x v="1"/>
    <n v="0.127555"/>
    <n v="188.82"/>
    <n v="0.28000000000000003"/>
    <s v="(0.15%)"/>
    <n v="66.497100000000003"/>
    <n v="40730430975"/>
  </r>
  <r>
    <s v="Marriott International Inc. Class A"/>
    <s v="MARRIOTT INTERNATIONAL, INC. (XNAS:MAR)"/>
    <x v="15"/>
    <n v="0.127418"/>
    <n v="150.68"/>
    <n v="-0.7"/>
    <s v="(-0.46%)"/>
    <n v="23.099399999999999"/>
    <n v="47699352324"/>
  </r>
  <r>
    <s v="FedEx Corporation"/>
    <s v="FEDEX CORPORATION (XNYS:FDX)"/>
    <x v="23"/>
    <n v="0.126416"/>
    <n v="163.88"/>
    <n v="-4.9000000000000004"/>
    <s v="(-2.90%)"/>
    <n v="12.4078"/>
    <n v="42652627418"/>
  </r>
  <r>
    <s v="Ross Stores Inc."/>
    <s v="ROSS STORES, INC. (XNAS:ROST)"/>
    <x v="11"/>
    <n v="0.12523999999999999"/>
    <n v="114.67"/>
    <n v="-0.25"/>
    <s v="(-0.22%)"/>
    <n v="27.893699999999999"/>
    <n v="39489022570"/>
  </r>
  <r>
    <s v="Fidelity National Information Services Inc."/>
    <s v="FIDELITY NATIONAL INFORMATION SERVICES, INC. (XNYS:FIS)"/>
    <x v="28"/>
    <n v="0.12503"/>
    <n v="67.64"/>
    <n v="0.28999999999999998"/>
    <s v="(0.43%)"/>
    <n v="43.957000000000001"/>
    <n v="40133222482"/>
  </r>
  <r>
    <s v="Realty Income Corporation"/>
    <s v="REALTY INCOME CORPORATION (XNYS:O)"/>
    <x v="30"/>
    <n v="0.124671"/>
    <n v="63.25"/>
    <n v="-0.28999999999999998"/>
    <s v="(-0.46%)"/>
    <n v="59.413699999999999"/>
    <n v="39661212636"/>
  </r>
  <r>
    <s v="Sysco Corporation"/>
    <s v="SYSCO CORPORATION (XNYS:SYY)"/>
    <x v="14"/>
    <n v="0.123755"/>
    <n v="78.33"/>
    <n v="0.42"/>
    <s v="(0.54%)"/>
    <n v="27.597799999999999"/>
    <n v="39700165950"/>
  </r>
  <r>
    <s v="Aflac Incorporated"/>
    <s v="AFLAC INCORPORATED (XNYS:AFL)"/>
    <x v="31"/>
    <n v="0.123573"/>
    <n v="70.61"/>
    <n v="1.69"/>
    <s v="(2.44%)"/>
    <n v="8.7988999999999997"/>
    <n v="43898275160"/>
  </r>
  <r>
    <s v="Microchip Technology Incorporated"/>
    <s v="MICROCHIP TECHNOLOGY INCORPORATED (XNAS:MCHP)"/>
    <x v="7"/>
    <n v="0.12271899999999999"/>
    <n v="71.58"/>
    <n v="0.1"/>
    <s v="(0.14%)"/>
    <n v="21.805"/>
    <n v="39364122659"/>
  </r>
  <r>
    <s v="L3Harris Technologies Inc"/>
    <s v="L3HARRIS TECHNOLOGIES, INC. (XNYS:LHX)"/>
    <x v="22"/>
    <n v="0.12251099999999999"/>
    <n v="205.91"/>
    <n v="0.36"/>
    <s v="(0.18%)"/>
    <n v="35.756300000000003"/>
    <n v="39205840548"/>
  </r>
  <r>
    <s v="Chipotle Mexican Grill Inc."/>
    <s v="CHIPOTLE MEXICAN GRILL, INC. (XNYS:CMG)"/>
    <x v="15"/>
    <n v="0.122364"/>
    <n v="1436.1"/>
    <n v="21.12"/>
    <s v="(1.49%)"/>
    <n v="49.250300000000003"/>
    <n v="39758447595"/>
  </r>
  <r>
    <s v="Trane Technologies plc"/>
    <s v="Trane Technologies plc (XNYS:TT)"/>
    <x v="25"/>
    <n v="0.122156"/>
    <n v="168.95"/>
    <n v="0.14000000000000001"/>
    <s v="(0.08%)"/>
    <n v="24.037600000000001"/>
    <n v="38917327554"/>
  </r>
  <r>
    <s v="Williams Companies Inc."/>
    <s v="THE WILLIAMS COMPANIES, INC. (XNYS:WMB)"/>
    <x v="33"/>
    <n v="0.121832"/>
    <n v="32.43"/>
    <n v="0.36"/>
    <s v="(1.11%)"/>
    <n v="19.597799999999999"/>
    <n v="39493650000"/>
  </r>
  <r>
    <s v="Arthur J. Gallagher &amp; Co."/>
    <s v="ARTHUR J. GALLAGHER &amp; CO. (XNYS:AJG)"/>
    <x v="31"/>
    <n v="0.121393"/>
    <n v="186.88"/>
    <n v="1.79"/>
    <s v="(0.97%)"/>
    <n v="36.398600000000002"/>
    <n v="39401779200"/>
  </r>
  <r>
    <s v="Devon Energy Corporation"/>
    <s v="DEVON ENERGY CORPORATION (XNYS:DVN)"/>
    <x v="6"/>
    <n v="0.120977"/>
    <n v="59.57"/>
    <n v="0.31"/>
    <s v="(0.52%)"/>
    <n v="6.2150999999999996"/>
    <n v="38960520000"/>
  </r>
  <r>
    <s v="Monster Beverage Corporation"/>
    <s v="MONSTER BEVERAGE CORPORATION (XNAS:MNST)"/>
    <x v="12"/>
    <n v="0.120425"/>
    <n v="101.21"/>
    <n v="0.79"/>
    <s v="(0.78%)"/>
    <n v="44.344200000000001"/>
    <n v="52803061038"/>
  </r>
  <r>
    <s v="Cintas Corporation"/>
    <s v="CINTAS CORPORATION (XNAS:CTAS)"/>
    <x v="27"/>
    <n v="0.118931"/>
    <n v="443.82"/>
    <n v="0.31"/>
    <s v="(0.07%)"/>
    <n v="37.179000000000002"/>
    <n v="45067835046"/>
  </r>
  <r>
    <s v="Xcel Energy Inc."/>
    <s v="Xcel Energy Inc. (XNAS:XEL)"/>
    <x v="17"/>
    <n v="0.11881799999999999"/>
    <n v="69.55"/>
    <n v="0.15"/>
    <s v="(0.22%)"/>
    <n v="22.661999999999999"/>
    <n v="38061133175"/>
  </r>
  <r>
    <s v="Simon Property Group Inc."/>
    <s v="SIMON PROPERTY GROUP, INC. (XNYS:SPG)"/>
    <x v="30"/>
    <n v="0.11736199999999999"/>
    <n v="115.77"/>
    <n v="0.15"/>
    <s v="(0.13%)"/>
    <n v="19.299700000000001"/>
    <n v="39699084318"/>
  </r>
  <r>
    <s v="Constellation Brands Inc. Class A"/>
    <s v="CONSTELLATION BRANDS, INC. (XNYS:STZ)"/>
    <x v="12"/>
    <n v="0.116953"/>
    <n v="229.51"/>
    <n v="-0.79"/>
    <s v="(-0.34%)"/>
    <n v="710.74969999999996"/>
    <n v="42331188836"/>
  </r>
  <r>
    <s v="MSCI Inc. Class A"/>
    <s v="MSCI INC. (XNYS:MSCI)"/>
    <x v="27"/>
    <n v="0.116352"/>
    <n v="458.5"/>
    <n v="-3.44"/>
    <s v="(-0.74%)"/>
    <n v="44.571199999999997"/>
    <n v="36660820945"/>
  </r>
  <r>
    <s v="IQVIA Holdings Inc"/>
    <s v="IQVIA HOLDINGS INC (XNYS:IQV)"/>
    <x v="32"/>
    <n v="0.11618000000000001"/>
    <n v="201.72"/>
    <n v="1.88"/>
    <s v="(0.94%)"/>
    <n v="32.520600000000002"/>
    <n v="37476759800"/>
  </r>
  <r>
    <s v="Paychex Inc."/>
    <s v="PAYCHEX, INC. (XNAS:PAYX)"/>
    <x v="27"/>
    <n v="0.115923"/>
    <n v="114.26"/>
    <n v="-1.26"/>
    <s v="(-1.09%)"/>
    <n v="29.153500000000001"/>
    <n v="41179304000"/>
  </r>
  <r>
    <s v="TE Connectivity Ltd."/>
    <s v="TE Connectivity Ltd (XNYS:TEL)"/>
    <x v="25"/>
    <n v="0.115203"/>
    <n v="114.99"/>
    <n v="-0.55000000000000004"/>
    <s v="(-0.48%)"/>
    <n v="15.4664"/>
    <n v="36478346694"/>
  </r>
  <r>
    <s v="Hess Corporation"/>
    <s v="HESS CORPORATION (XNYS:HES)"/>
    <x v="6"/>
    <n v="0.11508599999999999"/>
    <n v="136.29"/>
    <n v="2.66"/>
    <s v="(1.99%)"/>
    <n v="22.230399999999999"/>
    <n v="42028614720"/>
  </r>
  <r>
    <s v="Yum! Brands Inc."/>
    <s v="YUM! BRANDS, INC. (XNYS:YUM)"/>
    <x v="15"/>
    <n v="0.113847"/>
    <n v="128.47"/>
    <n v="0.09"/>
    <s v="(0.07%)"/>
    <n v="29.2455"/>
    <n v="36188444513"/>
  </r>
  <r>
    <s v="Parker-Hannifin Corporation"/>
    <s v="PARKER-HANNIFIN CORPORATION (XNYS:PH)"/>
    <x v="25"/>
    <n v="0.11269"/>
    <n v="287.51"/>
    <n v="4.8099999999999996"/>
    <s v="(1.70%)"/>
    <n v="29.407299999999999"/>
    <n v="36908934408"/>
  </r>
  <r>
    <s v="Newmont Corporation"/>
    <s v="NEWMONT CORPORATION (XNYS:NEM)"/>
    <x v="34"/>
    <n v="0.11255900000000001"/>
    <n v="47.68"/>
    <n v="2.08"/>
    <s v="(4.56%)"/>
    <n v="37.426400000000001"/>
    <n v="37845461216"/>
  </r>
  <r>
    <s v="Prudential Financial Inc."/>
    <s v="PRUDENTIAL FINANCIAL, INC. (XNYS:PRU)"/>
    <x v="31"/>
    <n v="0.112521"/>
    <n v="98.38"/>
    <n v="1.26"/>
    <s v="(1.30%)"/>
    <n v="134.43520000000001"/>
    <n v="36203840000"/>
  </r>
  <r>
    <s v="Hilton Worldwide Holdings Inc"/>
    <s v="HILTON WORLDWIDE HOLDINGS INC. (XNYS:HLT)"/>
    <x v="15"/>
    <n v="0.110966"/>
    <n v="129.61000000000001"/>
    <n v="-0.28999999999999998"/>
    <s v="(-0.22%)"/>
    <n v="33.747599999999998"/>
    <n v="35053802160"/>
  </r>
  <r>
    <s v="Dow Inc."/>
    <s v="Dow Inc. (XNYS:DOW)"/>
    <x v="18"/>
    <n v="0.110457"/>
    <n v="49.72"/>
    <n v="0.39"/>
    <s v="(0.79%)"/>
    <n v="6.3936999999999999"/>
    <n v="34991827283"/>
  </r>
  <r>
    <s v="Allstate Corporation"/>
    <s v="THE ALLSTATE CORPORATION (XNYS:ALL)"/>
    <x v="31"/>
    <n v="0.11039"/>
    <n v="133.37"/>
    <n v="2.38"/>
    <s v="(1.82%)"/>
    <n v="44.216799999999999"/>
    <n v="35372330400"/>
  </r>
  <r>
    <s v="Carrier Global Corp."/>
    <s v="CARRIER GLOBAL CORPORATION (XNYS:CARR)"/>
    <x v="25"/>
    <n v="0.108902"/>
    <n v="41.37"/>
    <n v="-0.13"/>
    <s v="(-0.31%)"/>
    <n v="10.0283"/>
    <n v="34596138255"/>
  </r>
  <r>
    <s v="Ecolab Inc."/>
    <s v="ECOLAB INC. (XNYS:ECL)"/>
    <x v="18"/>
    <n v="0.10854999999999999"/>
    <n v="142.6"/>
    <n v="1.39"/>
    <s v="(0.98%)"/>
    <n v="35.9786"/>
    <n v="40616487060"/>
  </r>
  <r>
    <s v="Kinder Morgan Inc Class P"/>
    <s v="KINDER MORGAN, INC. (XNYS:KMI)"/>
    <x v="33"/>
    <n v="0.10823000000000001"/>
    <n v="17.649999999999999"/>
    <n v="0.14000000000000001"/>
    <s v="(0.77%)"/>
    <n v="15.8492"/>
    <n v="39661407590"/>
  </r>
  <r>
    <s v="PACCAR Inc"/>
    <s v="PACCAR INC (XNAS:PCAR)"/>
    <x v="25"/>
    <n v="0.107832"/>
    <n v="99.4"/>
    <n v="0.28999999999999998"/>
    <s v="(0.29%)"/>
    <n v="13.285399999999999"/>
    <n v="34568099440"/>
  </r>
  <r>
    <s v="Nucor Corporation"/>
    <s v="NUCOR CORPORATION (XNYS:NUE)"/>
    <x v="34"/>
    <n v="0.10756499999999999"/>
    <n v="134.32"/>
    <n v="2.56"/>
    <s v="(1.94%)"/>
    <n v="4.1242999999999999"/>
    <n v="34458949784"/>
  </r>
  <r>
    <s v="Hershey Company"/>
    <s v="THE HERSHEY COMPANY (XNYS:HSY)"/>
    <x v="20"/>
    <n v="0.107555"/>
    <n v="233.74"/>
    <n v="-1.1499999999999999"/>
    <s v="(-0.49%)"/>
    <n v="30.674700000000001"/>
    <n v="47936006924"/>
  </r>
  <r>
    <s v="DuPont de Nemours Inc."/>
    <s v="DuPont de Nemours, Inc. (XNYS:DD)"/>
    <x v="18"/>
    <n v="0.10551099999999999"/>
    <n v="67.59"/>
    <n v="0.03"/>
    <s v="(0.05%)"/>
    <n v="29.519300000000001"/>
    <n v="33592865418"/>
  </r>
  <r>
    <s v="Consolidated Edison Inc."/>
    <s v="CONSOLIDATED EDISON, INC. (XNYS:ED)"/>
    <x v="17"/>
    <n v="0.10530200000000001"/>
    <n v="94.65"/>
    <n v="-0.2"/>
    <s v="(-0.21%)"/>
    <n v="19.902200000000001"/>
    <n v="33587773485"/>
  </r>
  <r>
    <s v="Capital One Financial Corp"/>
    <s v="CAPITAL ONE FINANCIAL CORPORATION (XNYS:COF)"/>
    <x v="9"/>
    <n v="0.105153"/>
    <n v="88.39"/>
    <n v="0.52"/>
    <s v="(0.59%)"/>
    <n v="4.3494999999999999"/>
    <n v="33742156240"/>
  </r>
  <r>
    <s v="IDEXX Laboratories Inc."/>
    <s v="IDEXX LABORATORIES, INC. (XNAS:IDXX)"/>
    <x v="13"/>
    <n v="0.10439900000000001"/>
    <n v="405.97"/>
    <n v="3.8"/>
    <s v="(0.94%)"/>
    <n v="51.149299999999997"/>
    <n v="33621201251"/>
  </r>
  <r>
    <s v="Cummins Inc."/>
    <s v="CUMMINS INC. (XNYS:CMI)"/>
    <x v="8"/>
    <n v="0.104169"/>
    <n v="237.86"/>
    <n v="0.67"/>
    <s v="(0.28%)"/>
    <n v="17.6799"/>
    <n v="33538260000"/>
  </r>
  <r>
    <s v="Ameriprise Financial Inc."/>
    <s v="AMERIPRISE FINANCIAL, INC. (XNYS:AMP)"/>
    <x v="26"/>
    <n v="0.10338799999999999"/>
    <n v="308.12"/>
    <n v="1.55"/>
    <s v="(0.51%)"/>
    <n v="12.7759"/>
    <n v="32798845211"/>
  </r>
  <r>
    <s v="Charter Communications Inc. Class A"/>
    <s v="CHARTER COMMUNICATIONS, INC. (XNAS:CHTR)"/>
    <x v="21"/>
    <n v="0.102883"/>
    <n v="309.58999999999997"/>
    <n v="3.43"/>
    <s v="(1.12%)"/>
    <n v="9.5633999999999997"/>
    <n v="48194587356"/>
  </r>
  <r>
    <s v="Halliburton Company"/>
    <s v="HALLIBURTON COMPANY (XNYS:HAL)"/>
    <x v="33"/>
    <n v="0.10244200000000001"/>
    <n v="37.6"/>
    <n v="1.54"/>
    <s v="(4.26%)"/>
    <n v="18.6875"/>
    <n v="34142559680"/>
  </r>
  <r>
    <s v="Fortinet Inc."/>
    <s v="FORTINET, INC. (XNAS:FTNT)"/>
    <x v="1"/>
    <n v="0.10198699999999999"/>
    <n v="50.33"/>
    <n v="0.35"/>
    <s v="(0.70%)"/>
    <n v="54.866799999999998"/>
    <n v="39319607880"/>
  </r>
  <r>
    <s v="Otis Worldwide Corporation"/>
    <s v="OTIS WORLDWIDE CORPORATION (XNYS:OTIS)"/>
    <x v="25"/>
    <n v="0.101897"/>
    <n v="77.89"/>
    <n v="0.02"/>
    <s v="(0.03%)"/>
    <n v="26.7852"/>
    <n v="32447891329"/>
  </r>
  <r>
    <s v="Bank of New York Mellon Corp"/>
    <s v="THE BANK OF NEW YORK MELLON CORPORATION (XNYS:BK)"/>
    <x v="26"/>
    <n v="0.10128"/>
    <n v="44.32"/>
    <n v="0.15"/>
    <s v="(0.33%)"/>
    <n v="13.4521"/>
    <n v="35818928200"/>
  </r>
  <r>
    <s v="Kraft Heinz Company"/>
    <s v="THE KRAFT HEINZ COMPANY (XNAS:KHC)"/>
    <x v="20"/>
    <n v="9.9606E-2"/>
    <n v="39.82"/>
    <n v="-0.28999999999999998"/>
    <s v="(-0.72%)"/>
    <n v="50.691299999999998"/>
    <n v="48776712600"/>
  </r>
  <r>
    <s v="Electronic Arts Inc."/>
    <s v="ELECTRONIC ARTS INC. (XNAS:EA)"/>
    <x v="1"/>
    <n v="9.9462999999999996E-2"/>
    <n v="120.63"/>
    <n v="-0.16"/>
    <s v="(-0.13%)"/>
    <n v="37.720100000000002"/>
    <n v="33304934927"/>
  </r>
  <r>
    <s v="VICI Properties Inc"/>
    <s v="VICI PROPERTIES INC. (XNYS:VICI)"/>
    <x v="30"/>
    <n v="9.9010000000000001E-2"/>
    <n v="33.17"/>
    <n v="0.09"/>
    <s v="(0.26%)"/>
    <n v="30.909500000000001"/>
    <n v="33077862279"/>
  </r>
  <r>
    <s v="CoStar Group Inc."/>
    <s v="COSTAR GROUP, INC. (XNAS:CSGP)"/>
    <x v="1"/>
    <n v="9.8174999999999998E-2"/>
    <n v="76.58"/>
    <n v="-0.57999999999999996"/>
    <s v="(-0.75%)"/>
    <n v="90.131799999999998"/>
    <n v="31144327858"/>
  </r>
  <r>
    <s v="Mettler-Toledo International Inc."/>
    <s v="METTLER-TOLEDO INTERNATIONAL INC. (XNYS:MTD)"/>
    <x v="38"/>
    <n v="9.8003999999999994E-2"/>
    <n v="1406.18"/>
    <n v="8.25"/>
    <s v="(0.59%)"/>
    <n v="38.253700000000002"/>
    <n v="31342621424"/>
  </r>
  <r>
    <s v="AMETEK Inc."/>
    <s v="AMETEK, INC. (XNYS:AME)"/>
    <x v="25"/>
    <n v="9.7808000000000006E-2"/>
    <n v="138.08000000000001"/>
    <n v="1.1000000000000001"/>
    <s v="(0.80%)"/>
    <n v="28.021000000000001"/>
    <n v="31719865728"/>
  </r>
  <r>
    <s v="TransDigm Group Incorporated"/>
    <s v="TRANSDIGM GROUP INCORPORATED (XNYS:TDG)"/>
    <x v="22"/>
    <n v="9.6776000000000001E-2"/>
    <n v="610.27"/>
    <n v="8.2200000000000006"/>
    <s v="(1.36%)"/>
    <n v="44.979900000000001"/>
    <n v="33182915269"/>
  </r>
  <r>
    <s v="Keurig Dr Pepper Inc."/>
    <s v="KEURIG DR PEPPER INC. (XNAS:KDP)"/>
    <x v="12"/>
    <n v="9.6202999999999997E-2"/>
    <n v="36.33"/>
    <n v="0.01"/>
    <s v="(0.01%)"/>
    <n v="28.455500000000001"/>
    <n v="51445317575"/>
  </r>
  <r>
    <s v="Keysight Technologies Inc"/>
    <s v="KEYSIGHT TECHNOLOGIES, INC. (XNYS:KEYS)"/>
    <x v="25"/>
    <n v="9.6143000000000006E-2"/>
    <n v="172.24"/>
    <n v="0.86"/>
    <s v="(0.50%)"/>
    <n v="27.8004"/>
    <n v="30801100785"/>
  </r>
  <r>
    <s v="ResMed Inc."/>
    <s v="RESMED INC. (XWBO:RMD)"/>
    <x v="13"/>
    <n v="9.5850000000000005E-2"/>
    <n v="209.03"/>
    <n v="-0.12"/>
    <s v="(-0.06%)"/>
    <n v="36.090000000000003"/>
    <n v="32352380000"/>
  </r>
  <r>
    <s v="Illumina Inc."/>
    <s v="ILLUMINA, INC. (XNAS:ILMN)"/>
    <x v="13"/>
    <n v="9.4284999999999994E-2"/>
    <n v="192.08"/>
    <n v="0.49"/>
    <s v="(0.26%)"/>
    <n v="49.578400000000002"/>
    <n v="30222049000"/>
  </r>
  <r>
    <s v="Welltower Inc"/>
    <s v="WELLTOWER INC. (XNYS:WELL)"/>
    <x v="30"/>
    <n v="9.4169000000000003E-2"/>
    <n v="63.71"/>
    <n v="0.01"/>
    <s v="(0.02%)"/>
    <n v="168.40710000000001"/>
    <n v="30104344765"/>
  </r>
  <r>
    <s v="Arista Networks Inc."/>
    <s v="ARISTA NETWORKS, INC. (XNYS:ANET)"/>
    <x v="16"/>
    <n v="9.4163999999999998E-2"/>
    <n v="122.05"/>
    <n v="-0.5"/>
    <s v="(-0.41%)"/>
    <n v="33.390500000000003"/>
    <n v="37328748816"/>
  </r>
  <r>
    <s v="SBA Communications Corp. Class A"/>
    <s v="SBA Communications Corporation (XNAS:SBAC)"/>
    <x v="30"/>
    <n v="9.3201999999999993E-2"/>
    <n v="279.33999999999997"/>
    <n v="1.88"/>
    <s v="(0.68%)"/>
    <n v="74.709900000000005"/>
    <n v="29956120000"/>
  </r>
  <r>
    <s v="WEC Energy Group Inc"/>
    <s v="WEC ENERGY GROUP, INC. (XNYS:WEC)"/>
    <x v="17"/>
    <n v="9.2999999999999999E-2"/>
    <n v="94.37"/>
    <n v="0.13"/>
    <s v="(0.14%)"/>
    <n v="21.6007"/>
    <n v="29767553765"/>
  </r>
  <r>
    <s v="Public Service Enterprise Group Inc"/>
    <s v="PUBLIC SERVICE ENTERPRISE GROUP INCORPORATED (XNYS:PEG)"/>
    <x v="35"/>
    <n v="9.2674999999999993E-2"/>
    <n v="59.32"/>
    <n v="-0.05"/>
    <s v="(-0.08%)"/>
    <n v="43.361699999999999"/>
    <n v="29595201455"/>
  </r>
  <r>
    <s v="PPG Industries Inc."/>
    <s v="PPG INDUSTRIES, INC. (XNYS:PPG)"/>
    <x v="18"/>
    <n v="9.2061000000000004E-2"/>
    <n v="124.93"/>
    <n v="-0.7"/>
    <s v="(-0.56%)"/>
    <n v="28.248799999999999"/>
    <n v="29361973082"/>
  </r>
  <r>
    <s v="Dollar Tree Inc."/>
    <s v="DOLLAR TREE, INC. (XNAS:DLTR)"/>
    <x v="2"/>
    <n v="9.1747999999999996E-2"/>
    <n v="139.35"/>
    <n v="-7.0000000000000007E-2"/>
    <s v="(-0.05%)"/>
    <n v="19.508900000000001"/>
    <n v="30815424540"/>
  </r>
  <r>
    <s v="Kroger Co."/>
    <s v="THE KROGER CO. (XNYS:KR)"/>
    <x v="14"/>
    <n v="9.0510999999999994E-2"/>
    <n v="44.56"/>
    <n v="0.16"/>
    <s v="(0.36%)"/>
    <n v="13.945600000000001"/>
    <n v="31900602973"/>
  </r>
  <r>
    <s v="Rockwell Automation Inc."/>
    <s v="ROCKWELL AUTOMATION, INC. (XNYS:ROK)"/>
    <x v="25"/>
    <n v="8.9787000000000006E-2"/>
    <n v="254.96"/>
    <n v="4.3"/>
    <s v="(1.71%)"/>
    <n v="31.445599999999999"/>
    <n v="28786840000"/>
  </r>
  <r>
    <s v="Constellation Energy Corporation"/>
    <s v="CONSTELLATION ENERGY CORPORATION. (XNAS:CEG)"/>
    <x v="17"/>
    <n v="8.9752999999999999E-2"/>
    <n v="87.37"/>
    <n v="-0.36"/>
    <s v="(-0.41%)"/>
    <n v="44.336199999999998"/>
    <n v="28571553923"/>
  </r>
  <r>
    <s v="Eversource Energy"/>
    <s v="Eversource Energy (XNYS:ES)"/>
    <x v="17"/>
    <n v="8.9455999999999994E-2"/>
    <n v="82.78"/>
    <n v="-0.05"/>
    <s v="(-0.06%)"/>
    <n v="20.608599999999999"/>
    <n v="28832886572"/>
  </r>
  <r>
    <s v="Baker Hughes Company Class A"/>
    <s v="BAKER HUGHES COMPANY (XNAS:BKR)"/>
    <x v="33"/>
    <n v="8.9141999999999999E-2"/>
    <n v="29"/>
    <n v="0.74"/>
    <s v="(2.60%)"/>
    <n v="85.287700000000001"/>
    <n v="28499290000"/>
  </r>
  <r>
    <s v="Digital Realty Trust Inc."/>
    <s v="DIGITAL REALTY TRUST, INC. (XNYS:DLR)"/>
    <x v="30"/>
    <n v="8.9050000000000004E-2"/>
    <n v="99.11"/>
    <n v="-0.28000000000000003"/>
    <s v="(-0.28%)"/>
    <n v="20.397400000000001"/>
    <n v="28493459930"/>
  </r>
  <r>
    <s v="State Street Corporation"/>
    <s v="STATE STREET CORPORATION (XNYS:STT)"/>
    <x v="26"/>
    <n v="8.9037000000000005E-2"/>
    <n v="77.86"/>
    <n v="0.3"/>
    <s v="(0.38%)"/>
    <n v="10.9849"/>
    <n v="28568129271"/>
  </r>
  <r>
    <s v="Cognizant Technology Solutions Corporation Class A"/>
    <s v="COGNIZANT TECHNOLOGY SOLUTIONS CORPORATION (XNAS:CTSH)"/>
    <x v="1"/>
    <n v="8.8661000000000004E-2"/>
    <n v="55.22"/>
    <n v="0.24"/>
    <s v="(0.43%)"/>
    <n v="12.2416"/>
    <n v="28373600494"/>
  </r>
  <r>
    <s v="ONEOK Inc."/>
    <s v="ONEOK, INC. (XNYS:OKE)"/>
    <x v="33"/>
    <n v="8.8610999999999995E-2"/>
    <n v="63.74"/>
    <n v="0.37"/>
    <s v="(0.58%)"/>
    <n v="17.5914"/>
    <n v="28484365674"/>
  </r>
  <r>
    <s v="Walgreens Boots Alliance Inc."/>
    <s v="WALGREENS BOOTS ALLIANCE, INC. (XNAS:WBA)"/>
    <x v="14"/>
    <n v="8.8299000000000002E-2"/>
    <n v="39.51"/>
    <n v="0.19"/>
    <s v="(0.48%)"/>
    <n v="7.8627000000000002"/>
    <n v="34070824242"/>
  </r>
  <r>
    <s v="D.R. Horton Inc."/>
    <s v="D.R. HORTON, INC. (XNYS:DHI)"/>
    <x v="39"/>
    <n v="8.6822999999999997E-2"/>
    <n v="87.49"/>
    <n v="-0.6"/>
    <s v="(-0.68%)"/>
    <n v="5.3277000000000001"/>
    <n v="30144495771"/>
  </r>
  <r>
    <s v="ON Semiconductor Corporation"/>
    <s v="ON SEMICONDUCTOR CORPORATION (XNAS:ON)"/>
    <x v="7"/>
    <n v="8.6632000000000001E-2"/>
    <n v="64.430000000000007"/>
    <n v="0.28000000000000003"/>
    <s v="(0.44%)"/>
    <n v="16.6433"/>
    <n v="27861052548"/>
  </r>
  <r>
    <s v="American Water Works Company Inc."/>
    <s v="AMERICAN WATER WORKS COMPANY, INC. (XNYS:AWK)"/>
    <x v="40"/>
    <n v="8.6170999999999998E-2"/>
    <n v="150.27000000000001"/>
    <n v="-1.21"/>
    <s v="(-0.80%)"/>
    <n v="20.9176"/>
    <n v="27325096812"/>
  </r>
  <r>
    <s v="Albemarle Corporation"/>
    <s v="ALBEMARLE CORPORATION (XNYS:ALB)"/>
    <x v="18"/>
    <n v="8.5518999999999998E-2"/>
    <n v="233.46"/>
    <n v="0.12"/>
    <s v="(0.05%)"/>
    <n v="17.693000000000001"/>
    <n v="27351664216"/>
  </r>
  <r>
    <s v="Fastenal Company"/>
    <s v="Fastenal Company (XNAS:FAST)"/>
    <x v="25"/>
    <n v="8.4770999999999999E-2"/>
    <n v="47.6"/>
    <n v="-0.16"/>
    <s v="(-0.32%)"/>
    <n v="25.679600000000001"/>
    <n v="27263371240"/>
  </r>
  <r>
    <s v="Verisk Analytics Inc"/>
    <s v="VERISK ANALYTICS, INC. (XNAS:VRSK)"/>
    <x v="1"/>
    <n v="8.4768999999999997E-2"/>
    <n v="172.4"/>
    <n v="-0.82"/>
    <s v="(-0.47%)"/>
    <n v="26.897300000000001"/>
    <n v="26961291200"/>
  </r>
  <r>
    <s v="AmerisourceBergen Corporation"/>
    <s v="AMERISOURCEBERGEN CORPORATION (XNYS:ABC)"/>
    <x v="13"/>
    <n v="8.4726999999999997E-2"/>
    <n v="167.53"/>
    <n v="0.31"/>
    <s v="(0.19%)"/>
    <n v="20.804300000000001"/>
    <n v="33917032156"/>
  </r>
  <r>
    <s v="Gartner Inc."/>
    <s v="GARTNER, INC. (XNYS:IT)"/>
    <x v="1"/>
    <n v="8.3624000000000004E-2"/>
    <n v="335.67"/>
    <n v="-3.39"/>
    <s v="(-1.00%)"/>
    <n v="36.568199999999997"/>
    <n v="26526903878"/>
  </r>
  <r>
    <s v="Republic Services Inc."/>
    <s v="REPUBLIC SERVICES, INC. (XNYS:RSG)"/>
    <x v="27"/>
    <n v="8.3026000000000003E-2"/>
    <n v="129.99"/>
    <n v="0.34"/>
    <s v="(0.26%)"/>
    <n v="28.301100000000002"/>
    <n v="41075376986"/>
  </r>
  <r>
    <s v="Old Dominion Freight Line Inc."/>
    <s v="OLD DOMINION FREIGHT LINE, INC. (XNAS:ODFL)"/>
    <x v="23"/>
    <n v="8.2872000000000001E-2"/>
    <n v="283.95999999999998"/>
    <n v="-6.24"/>
    <s v="(-2.15%)"/>
    <n v="24.848700000000001"/>
    <n v="31372355135"/>
  </r>
  <r>
    <s v="Zimmer Biomet Holdings Inc."/>
    <s v="ZIMMER BIOMET HOLDINGS, INC. (XNYS:ZBH)"/>
    <x v="13"/>
    <n v="8.2038E-2"/>
    <n v="125.48"/>
    <n v="0.52"/>
    <s v="(0.42%)"/>
    <n v="77.768000000000001"/>
    <n v="26321786532"/>
  </r>
  <r>
    <s v="Willis Towers Watson Public Limited Company"/>
    <s v="Willis Towers Watson Public Limited Company (XNAS:WTW)"/>
    <x v="31"/>
    <n v="8.1969E-2"/>
    <n v="240.1"/>
    <n v="0.79"/>
    <s v="(0.33%)"/>
    <n v="28.220099999999999"/>
    <n v="25902350000"/>
  </r>
  <r>
    <s v="International Flavors &amp; Fragrances Inc."/>
    <s v="INTERNATIONAL FLAVORS &amp; FRAGRANCES INC. (XNYS:IFF)"/>
    <x v="20"/>
    <n v="8.1087999999999993E-2"/>
    <n v="102.32"/>
    <n v="0.66"/>
    <s v="(0.65%)"/>
    <n v="38.623600000000003"/>
    <n v="26090281926"/>
  </r>
  <r>
    <s v="Discover Financial Services"/>
    <s v="DISCOVER FINANCIAL SERVICES (XNYS:DFS)"/>
    <x v="9"/>
    <n v="8.1053E-2"/>
    <n v="96.78"/>
    <n v="1.61"/>
    <s v="(1.69%)"/>
    <n v="6.1410999999999998"/>
    <n v="26448257440"/>
  </r>
  <r>
    <s v="Copart Inc."/>
    <s v="COPART, INC. (XNAS:CPRT)"/>
    <x v="11"/>
    <n v="8.0854999999999996E-2"/>
    <n v="60.22"/>
    <n v="-0.09"/>
    <s v="(-0.15%)"/>
    <n v="27.0184"/>
    <n v="28682786000"/>
  </r>
  <r>
    <s v="Global Payments Inc."/>
    <s v="GLOBAL PAYMENTS INC. (XNYS:GPN)"/>
    <x v="27"/>
    <n v="8.0478999999999995E-2"/>
    <n v="93.89"/>
    <n v="0.76"/>
    <s v="(0.82%)"/>
    <n v="415.53629999999998"/>
    <n v="25387968668"/>
  </r>
  <r>
    <s v="PG&amp;E Corporation"/>
    <s v="PG&amp;E CORPORATION (XNYS:PCG)"/>
    <x v="17"/>
    <n v="7.9786999999999997E-2"/>
    <n v="15.9"/>
    <n v="0.06"/>
    <s v="(0.35%)"/>
    <n v="18.845300000000002"/>
    <n v="39175905160"/>
  </r>
  <r>
    <s v="W.W. Grainger Inc."/>
    <s v="W.W. GRAINGER, INC. (XNYS:GWW)"/>
    <x v="25"/>
    <n v="7.9240000000000005E-2"/>
    <n v="564.28"/>
    <n v="3.01"/>
    <s v="(0.54%)"/>
    <n v="19.921800000000001"/>
    <n v="28496986762"/>
  </r>
  <r>
    <s v="Aptiv PLC"/>
    <s v="APTIV PLC (XNYS:APTV)"/>
    <x v="8"/>
    <n v="7.8927999999999998E-2"/>
    <n v="93.99"/>
    <n v="0.88"/>
    <s v="(0.95%)"/>
    <n v="81.300299999999993"/>
    <n v="25463843408"/>
  </r>
  <r>
    <s v="Baxter International Inc."/>
    <s v="BAXTER INTERNATIONAL INC. (XNYS:BAX)"/>
    <x v="13"/>
    <n v="7.8174999999999994E-2"/>
    <n v="49.97"/>
    <n v="0.02"/>
    <s v="(0.03%)"/>
    <n v="28.8703"/>
    <n v="25188395772"/>
  </r>
  <r>
    <s v="Genuine Parts Company"/>
    <s v="GENUINE PARTS COMPANY (XNYS:GPC)"/>
    <x v="8"/>
    <n v="7.7788999999999997E-2"/>
    <n v="175.73"/>
    <n v="-0.14000000000000001"/>
    <s v="(-0.08%)"/>
    <n v="21.120699999999999"/>
    <n v="24777595550"/>
  </r>
  <r>
    <s v="Edison International"/>
    <s v="EDISON INTERNATIONAL (XNYS:EIX)"/>
    <x v="17"/>
    <n v="7.7595999999999998E-2"/>
    <n v="64.88"/>
    <n v="-0.08"/>
    <s v="(-0.12%)"/>
    <n v="34.296300000000002"/>
    <n v="24774121162"/>
  </r>
  <r>
    <s v="M&amp;T Bank Corporation"/>
    <s v="M&amp;T BANK CORPORATION (XNYS:MTB)"/>
    <x v="9"/>
    <n v="7.7026999999999998E-2"/>
    <n v="140.58000000000001"/>
    <n v="-7.0000000000000007E-2"/>
    <s v="(-0.05%)"/>
    <n v="13.264900000000001"/>
    <n v="24278070000"/>
  </r>
  <r>
    <s v="T. Rowe Price Group"/>
    <s v="T. ROWE PRICE GROUP, INC. (XNAS:TROW)"/>
    <x v="26"/>
    <n v="7.6987E-2"/>
    <n v="109.48"/>
    <n v="-0.05"/>
    <s v="(-0.05%)"/>
    <n v="12.575699999999999"/>
    <n v="24464926304"/>
  </r>
  <r>
    <s v="United Rentals Inc."/>
    <s v="UNITED RENTALS, INC. (XNYS:URI)"/>
    <x v="27"/>
    <n v="7.6603000000000004E-2"/>
    <n v="351.58"/>
    <n v="0.33"/>
    <s v="(0.09%)"/>
    <n v="12.9245"/>
    <n v="24367475398"/>
  </r>
  <r>
    <s v="HP Inc."/>
    <s v="HP INC. (XNYS:HPQ)"/>
    <x v="0"/>
    <n v="7.5369000000000005E-2"/>
    <n v="26.6"/>
    <n v="0.04"/>
    <s v="(0.13%)"/>
    <n v="8.8138000000000005"/>
    <n v="26120167551"/>
  </r>
  <r>
    <s v="CBRE Group Inc. Class A"/>
    <s v="CBRE GROUP, INC. (XNYS:CBRE)"/>
    <x v="41"/>
    <n v="7.5076000000000004E-2"/>
    <n v="75.040000000000006"/>
    <n v="0.03"/>
    <s v="(0.04%)"/>
    <n v="12.388199999999999"/>
    <n v="23708775440"/>
  </r>
  <r>
    <s v="Corning Inc"/>
    <s v="CORNING INCORPORATED (XNYS:GLW)"/>
    <x v="36"/>
    <n v="7.5020000000000003E-2"/>
    <n v="31.65"/>
    <n v="-0.1"/>
    <s v="(-0.31%)"/>
    <n v="14.8088"/>
    <n v="26769930810"/>
  </r>
  <r>
    <s v="CDW Corp."/>
    <s v="CDW CORPORATION (XNAS:CDW)"/>
    <x v="1"/>
    <n v="7.4845999999999996E-2"/>
    <n v="178.79"/>
    <n v="0.46"/>
    <s v="(0.26%)"/>
    <n v="23.444400000000002"/>
    <n v="24205879935"/>
  </r>
  <r>
    <s v="Hartford Financial Services Group Inc."/>
    <s v="THE HARTFORD FINANCIAL SERVICES GROUP, INC. (XNYS:HIG)"/>
    <x v="31"/>
    <n v="7.4216000000000004E-2"/>
    <n v="74.86"/>
    <n v="1.2"/>
    <s v="(1.63%)"/>
    <n v="12.838699999999999"/>
    <n v="23814474148"/>
  </r>
  <r>
    <s v="Diamondback Energy Inc."/>
    <s v="DIAMONDBACK ENERGY, INC. (XNAS:FANG)"/>
    <x v="6"/>
    <n v="7.4019000000000001E-2"/>
    <n v="135.24"/>
    <n v="1.66"/>
    <s v="(1.24%)"/>
    <n v="5.4353999999999996"/>
    <n v="23802050664"/>
  </r>
  <r>
    <s v="Equifax Inc."/>
    <s v="EQUIFAX INC. (XNYS:EFX)"/>
    <x v="27"/>
    <n v="7.3228000000000001E-2"/>
    <n v="189.93"/>
    <n v="-1.24"/>
    <s v="(-0.65%)"/>
    <n v="33.234099999999998"/>
    <n v="23255674962"/>
  </r>
  <r>
    <s v="Tractor Supply Company"/>
    <s v="TRACTOR SUPPLY COMPANY (XNAS:TSCO)"/>
    <x v="11"/>
    <n v="7.3175000000000004E-2"/>
    <n v="210.43"/>
    <n v="-1.03"/>
    <s v="(-0.49%)"/>
    <n v="22.968599999999999"/>
    <n v="23358560000"/>
  </r>
  <r>
    <s v="Vulcan Materials Company"/>
    <s v="VULCAN MATERIALS COMPANY (XNYS:VMC)"/>
    <x v="42"/>
    <n v="7.2942000000000007E-2"/>
    <n v="176.86"/>
    <n v="1.44"/>
    <s v="(0.82%)"/>
    <n v="38.355499999999999"/>
    <n v="23314520000"/>
  </r>
  <r>
    <s v="Lennar Corporation Class A"/>
    <s v="LENNAR CORPORATION (XNYS:LEN)"/>
    <x v="39"/>
    <n v="7.1637999999999993E-2"/>
    <n v="89.03"/>
    <n v="-1.07"/>
    <s v="(-1.19%)"/>
    <n v="5.7106000000000003"/>
    <n v="25659000000"/>
  </r>
  <r>
    <s v="Ulta Beauty Inc."/>
    <s v="ULTA BEAUTY, INC. (XNAS:ULTA)"/>
    <x v="11"/>
    <n v="7.1527999999999994E-2"/>
    <n v="440.45"/>
    <n v="-0.06"/>
    <s v="(-0.01%)"/>
    <n v="19.366499999999998"/>
    <n v="22428752223"/>
  </r>
  <r>
    <s v="Entergy Corporation"/>
    <s v="ENTERGY CORPORATION (XNYS:ETR)"/>
    <x v="17"/>
    <n v="7.1503999999999998E-2"/>
    <n v="113.16"/>
    <n v="0.02"/>
    <s v="(0.01%)"/>
    <n v="18.375699999999998"/>
    <n v="23025198073"/>
  </r>
  <r>
    <s v="Weyerhaeuser Company"/>
    <s v="WEYERHAEUSER COMPANY (XNYS:WY)"/>
    <x v="30"/>
    <n v="7.1371000000000004E-2"/>
    <n v="30.94"/>
    <n v="0.11"/>
    <s v="(0.36%)"/>
    <n v="10.078900000000001"/>
    <n v="22769271980"/>
  </r>
  <r>
    <s v="AvalonBay Communities Inc."/>
    <s v="AVALONBAY COMMUNITIES, INC. (XNYS:AVB)"/>
    <x v="30"/>
    <n v="7.1001999999999996E-2"/>
    <n v="161.35"/>
    <n v="-0.88"/>
    <s v="(-0.54%)"/>
    <n v="18.482399999999998"/>
    <n v="22580139847"/>
  </r>
  <r>
    <s v="eBay Inc."/>
    <s v="EBAY INC. (XNAS:EBAY)"/>
    <x v="1"/>
    <n v="7.0816000000000004E-2"/>
    <n v="40.9"/>
    <n v="-0.45"/>
    <s v="(-1.08%)"/>
    <n v="253.23410000000001"/>
    <n v="22192043894"/>
  </r>
  <r>
    <s v="Ameren Corporation"/>
    <s v="AMEREN CORPORATION (XNYS:AEE)"/>
    <x v="35"/>
    <n v="7.0607000000000003E-2"/>
    <n v="87.33"/>
    <n v="0.03"/>
    <s v="(0.03%)"/>
    <n v="21.847999999999999"/>
    <n v="22568980000"/>
  </r>
  <r>
    <s v="Fortive Corp."/>
    <s v="FORTIVE CORPORATION (XNYS:FTV)"/>
    <x v="25"/>
    <n v="7.0400000000000004E-2"/>
    <n v="63.84"/>
    <n v="0.23"/>
    <s v="(0.36%)"/>
    <n v="33.018599999999999"/>
    <n v="22585352830"/>
  </r>
  <r>
    <s v="Arch Capital Group Ltd."/>
    <s v="ARCH CAPITAL GROUP LTD. (XNAS:ACGL)"/>
    <x v="31"/>
    <n v="7.0055000000000006E-2"/>
    <n v="62.16"/>
    <n v="1.62"/>
    <s v="(2.68%)"/>
    <n v="19.3903"/>
    <n v="22995004410"/>
  </r>
  <r>
    <s v="FirstEnergy Corp."/>
    <s v="FIRSTENERGY CORP. (XNYS:FE)"/>
    <x v="17"/>
    <n v="6.9405999999999995E-2"/>
    <n v="41.28"/>
    <n v="0.27"/>
    <s v="(0.65%)"/>
    <n v="18.6614"/>
    <n v="23599113330"/>
  </r>
  <r>
    <s v="DTE Energy Company"/>
    <s v="DTE ENERGY COMPANY (XNYS:DTE)"/>
    <x v="17"/>
    <n v="6.8954000000000001E-2"/>
    <n v="115.63"/>
    <n v="0.45"/>
    <s v="(0.39%)"/>
    <n v="20.022400000000001"/>
    <n v="22412074560"/>
  </r>
  <r>
    <s v="First Republic Bank"/>
    <s v="FIRST REPUBLIC BANK (XNYS:FRC)"/>
    <x v="9"/>
    <n v="6.8052000000000001E-2"/>
    <n v="118.98"/>
    <n v="-0.5"/>
    <s v="(-0.42%)"/>
    <n v="14.234400000000001"/>
    <n v="21764464092"/>
  </r>
  <r>
    <s v="Fifth Third Bancorp"/>
    <s v="FIFTH THIRD BANCORP (XNAS:FITB)"/>
    <x v="9"/>
    <n v="6.7965999999999999E-2"/>
    <n v="31.69"/>
    <n v="0.04"/>
    <s v="(0.13%)"/>
    <n v="9.7375000000000007"/>
    <n v="21751895578"/>
  </r>
  <r>
    <s v="Southwest Airlines Co."/>
    <s v="SOUTHWEST AIRLINES CO. (XNYS:LUV)"/>
    <x v="43"/>
    <n v="6.7524000000000001E-2"/>
    <n v="36.46"/>
    <n v="0.11"/>
    <s v="(0.29%)"/>
    <n v="28.555499999999999"/>
    <n v="21645169784"/>
  </r>
  <r>
    <s v="PPL Corporation"/>
    <s v="PPL CORPORATION (XNYS:PPL)"/>
    <x v="35"/>
    <n v="6.6742999999999997E-2"/>
    <n v="29.21"/>
    <n v="0.1"/>
    <s v="(0.34%)"/>
    <n v="30.355799999999999"/>
    <n v="21507857543"/>
  </r>
  <r>
    <s v="Alexandria Real Estate Equities Inc."/>
    <s v="ALEXANDRIA REAL ESTATE EQUITIES, INC. (XNYS:ARE)"/>
    <x v="30"/>
    <n v="6.6521999999999998E-2"/>
    <n v="145.13"/>
    <n v="1.02"/>
    <s v="(0.71%)"/>
    <n v="43.477600000000002"/>
    <n v="23813989849"/>
  </r>
  <r>
    <s v="Martin Marietta Materials Inc."/>
    <s v="MARTIN MARIETTA MATERIALS, INC. (XNYS:MLM)"/>
    <x v="42"/>
    <n v="6.5694000000000002E-2"/>
    <n v="341.58"/>
    <n v="0.73"/>
    <s v="(0.21%)"/>
    <n v="25.831"/>
    <n v="21208937890"/>
  </r>
  <r>
    <s v="Delta Air Lines Inc."/>
    <s v="DELTA AIR LINES, INC. (XNYS:DAL)"/>
    <x v="43"/>
    <n v="6.5074999999999994E-2"/>
    <n v="32.909999999999997"/>
    <n v="-0.01"/>
    <s v="(-0.03%)"/>
    <n v="289.50839999999999"/>
    <n v="21101510243"/>
  </r>
  <r>
    <s v="Cardinal Health Inc."/>
    <s v="CARDINAL HEALTH, INC. (XNYS:CAH)"/>
    <x v="5"/>
    <n v="6.5065999999999999E-2"/>
    <n v="79.64"/>
    <n v="0.3"/>
    <s v="(0.38%)"/>
    <n v="31.646599999999999"/>
    <n v="20797710000"/>
  </r>
  <r>
    <s v="McCormick &amp; Company Incorporated"/>
    <s v="MCCORMICK &amp; COMPANY, INCORPORATED (XNYS:MKC)"/>
    <x v="20"/>
    <n v="6.4948000000000006E-2"/>
    <n v="83.02"/>
    <n v="0.18"/>
    <s v="(0.22%)"/>
    <n v="32.331600000000002"/>
    <n v="22199780000"/>
  </r>
  <r>
    <s v="Laboratory Corporation of America Holdings"/>
    <s v="LABORATORY CORPORATION OF AMERICA HOLDINGS (XNYS:LH)"/>
    <x v="4"/>
    <n v="6.4574999999999994E-2"/>
    <n v="226.46"/>
    <n v="-2.5499999999999998"/>
    <s v="(-1.11%)"/>
    <n v="12.226599999999999"/>
    <n v="20064356000"/>
  </r>
  <r>
    <s v="Nasdaq Inc."/>
    <s v="Nasdaq, Inc. (XNAS:NDAQ)"/>
    <x v="26"/>
    <n v="6.3902E-2"/>
    <n v="60.27"/>
    <n v="-0.19"/>
    <s v="(-0.31%)"/>
    <n v="26.4559"/>
    <n v="29614328260"/>
  </r>
  <r>
    <s v="Ingersoll Rand Inc."/>
    <s v="INGERSOLL RAND INC. (XNYS:IR)"/>
    <x v="25"/>
    <n v="6.3895999999999994E-2"/>
    <n v="52"/>
    <n v="0.93"/>
    <s v="(1.81%)"/>
    <n v="38.1755"/>
    <n v="21054116971"/>
  </r>
  <r>
    <s v="LyondellBasell Industries NV"/>
    <s v="LyondellBasell Industries NV (XNYS:LYB)"/>
    <x v="18"/>
    <n v="6.3702999999999996E-2"/>
    <n v="80.77"/>
    <n v="0.47"/>
    <s v="(0.59%)"/>
    <n v="6.2080000000000002"/>
    <n v="26300682788"/>
  </r>
  <r>
    <s v="Raymond James Financial Inc."/>
    <s v="RAYMOND JAMES FINANCIAL, INC. (XNYS:RJF)"/>
    <x v="26"/>
    <n v="6.3530000000000003E-2"/>
    <n v="106.02"/>
    <n v="0.87"/>
    <s v="(0.83%)"/>
    <n v="15.0693"/>
    <n v="22801042872"/>
  </r>
  <r>
    <s v="ANSYS Inc."/>
    <s v="ANSYS, INC. (XNAS:ANSS)"/>
    <x v="1"/>
    <n v="6.3361000000000001E-2"/>
    <n v="236.95"/>
    <n v="1.55"/>
    <s v="(0.66%)"/>
    <n v="44.067300000000003"/>
    <n v="20641242898"/>
  </r>
  <r>
    <s v="Warner Bros. Discovery Inc. Series A"/>
    <s v="WARNER BROS. DISCOVERY, INC. (XNAS:WBD)"/>
    <x v="19"/>
    <n v="6.3282000000000005E-2"/>
    <n v="9.02"/>
    <n v="-0.24"/>
    <s v="(-2.54%)"/>
    <n v="7.2262000000000004"/>
    <n v="21891989940"/>
  </r>
  <r>
    <s v="Waters Corporation"/>
    <s v="WATERS CORPORATION (XNYS:WAT)"/>
    <x v="13"/>
    <n v="6.2925999999999996E-2"/>
    <n v="340.22"/>
    <n v="2.92"/>
    <s v="(0.87%)"/>
    <n v="29.416799999999999"/>
    <n v="20211646867"/>
  </r>
  <r>
    <s v="Quanta Services Inc."/>
    <s v="QUANTA SERVICES, INC. (XNYS:PWR)"/>
    <x v="44"/>
    <n v="6.2899999999999998E-2"/>
    <n v="143.32"/>
    <n v="0.96"/>
    <s v="(0.67%)"/>
    <n v="48.605400000000003"/>
    <n v="20480599984"/>
  </r>
  <r>
    <s v="Equity Residential"/>
    <s v="EQUITY RESIDENTIAL (XNYS:EQR)"/>
    <x v="30"/>
    <n v="6.2769000000000005E-2"/>
    <n v="58.9"/>
    <n v="-0.75"/>
    <s v="(-1.26%)"/>
    <n v="19.4908"/>
    <n v="22259423210"/>
  </r>
  <r>
    <s v="Hewlett Packard Enterprise Co."/>
    <s v="HEWLETT PACKARD ENTERPRISE COMPANY (XNYS:HPE)"/>
    <x v="0"/>
    <n v="6.2456999999999999E-2"/>
    <n v="15.66"/>
    <n v="0.18"/>
    <s v="(1.16%)"/>
    <n v="23.8337"/>
    <n v="20073254220"/>
  </r>
  <r>
    <s v="Huntington Bancshares Incorporated"/>
    <s v="HUNTINGTON BANCSHARES INCORPORATED (XNAS:HBAN)"/>
    <x v="9"/>
    <n v="6.1258E-2"/>
    <n v="13.78"/>
    <n v="0.09"/>
    <s v="(0.66%)"/>
    <n v="10.6853"/>
    <n v="19880874520"/>
  </r>
  <r>
    <s v="Principal Financial Group Inc."/>
    <s v="PRINCIPAL FINANCIAL GROUP, INC. (XNAS:PFG)"/>
    <x v="26"/>
    <n v="6.0872000000000002E-2"/>
    <n v="84.85"/>
    <n v="0.54"/>
    <s v="(0.64%)"/>
    <n v="4.0885999999999996"/>
    <n v="20761335580"/>
  </r>
  <r>
    <s v="Extra Space Storage Inc."/>
    <s v="EXTRA SPACE STORAGE INC. (XNYS:EXR)"/>
    <x v="30"/>
    <n v="6.0639999999999999E-2"/>
    <n v="146.38999999999999"/>
    <n v="-0.32"/>
    <s v="(-0.22%)"/>
    <n v="21.301500000000001"/>
    <n v="19610125245"/>
  </r>
  <r>
    <s v="Regions Financial Corporation"/>
    <s v="REGIONS FINANCIAL CORPORATION (XNYS:RF)"/>
    <x v="9"/>
    <n v="6.0457999999999998E-2"/>
    <n v="20.73"/>
    <n v="0.13"/>
    <s v="(0.61%)"/>
    <n v="10.2691"/>
    <n v="19366385060"/>
  </r>
  <r>
    <s v="Xylem Inc."/>
    <s v="XYLEM INC. (XNYS:XYL)"/>
    <x v="25"/>
    <n v="6.0389999999999999E-2"/>
    <n v="108.36"/>
    <n v="-0.12"/>
    <s v="(-0.11%)"/>
    <n v="61.562199999999997"/>
    <n v="19525197310"/>
  </r>
  <r>
    <s v="Church &amp; Dwight Co. Inc."/>
    <s v="CHURCH &amp; DWIGHT CO., INC. (XNYS:CHD)"/>
    <x v="10"/>
    <n v="6.0323000000000002E-2"/>
    <n v="79.84"/>
    <n v="-0.06"/>
    <s v="(-0.07%)"/>
    <n v="26.7714"/>
    <n v="19469225730"/>
  </r>
  <r>
    <s v="Coterra Energy Inc."/>
    <s v="Coterra Energy Inc. (XNYS:CTRA)"/>
    <x v="6"/>
    <n v="6.0238E-2"/>
    <n v="24.6"/>
    <n v="0.28999999999999998"/>
    <s v="(1.19%)"/>
    <n v="4.9465000000000003"/>
    <n v="19408122589"/>
  </r>
  <r>
    <s v="Molina Healthcare Inc."/>
    <s v="MOLINA HEALTHCARE, INC. (XNYS:MOH)"/>
    <x v="4"/>
    <n v="6.0142000000000001E-2"/>
    <n v="329.46"/>
    <n v="-2.19"/>
    <s v="(-0.66%)"/>
    <n v="23.134599999999999"/>
    <n v="19240464000"/>
  </r>
  <r>
    <s v="Dover Corporation"/>
    <s v="DOVER CORPORATION (XNYS:DOV)"/>
    <x v="25"/>
    <n v="5.8855999999999999E-2"/>
    <n v="133.31"/>
    <n v="0.93"/>
    <s v="(0.70%)"/>
    <n v="16.446300000000001"/>
    <n v="19142299155"/>
  </r>
  <r>
    <s v="EPAM Systems Inc."/>
    <s v="EPAM SYSTEMS, INC. (XNYS:EPAM)"/>
    <x v="1"/>
    <n v="5.8764999999999998E-2"/>
    <n v="332.21"/>
    <n v="3.64"/>
    <s v="(1.11%)"/>
    <n v="47.8446"/>
    <n v="19106268945"/>
  </r>
  <r>
    <s v="Citizens Financial Group Inc."/>
    <s v="CITIZENS FINANCIAL GROUP, INC. (XNYS:CFG)"/>
    <x v="9"/>
    <n v="5.8587E-2"/>
    <n v="38.06"/>
    <n v="-0.15"/>
    <s v="(-0.38%)"/>
    <n v="9.5540000000000003"/>
    <n v="18741745005"/>
  </r>
  <r>
    <s v="CenterPoint Energy Inc."/>
    <s v="CENTERPOINT ENERGY, INC. (XNYS:CNP)"/>
    <x v="35"/>
    <n v="5.8355999999999998E-2"/>
    <n v="30.01"/>
    <n v="0.03"/>
    <s v="(0.08%)"/>
    <n v="20.804099999999998"/>
    <n v="18889215678"/>
  </r>
  <r>
    <s v="VeriSign Inc."/>
    <s v="VERISIGN, INC. (XNAS:VRSN)"/>
    <x v="1"/>
    <n v="5.8326999999999997E-2"/>
    <n v="203.16"/>
    <n v="2.67"/>
    <s v="(1.33%)"/>
    <n v="26.661000000000001"/>
    <n v="21255240000"/>
  </r>
  <r>
    <s v="AES Corporation"/>
    <s v="THE AES CORPORATION (XNYS:AES)"/>
    <x v="17"/>
    <n v="5.8051999999999999E-2"/>
    <n v="28.43"/>
    <n v="0.23"/>
    <s v="(0.80%)"/>
    <n v="0"/>
    <n v="18993152563"/>
  </r>
  <r>
    <s v="CF Industries Holdings Inc."/>
    <s v="CF INDUSTRIES HOLDINGS, INC. (XNYS:CF)"/>
    <x v="18"/>
    <n v="5.7602E-2"/>
    <n v="93.57"/>
    <n v="0.85"/>
    <s v="(0.92%)"/>
    <n v="6.0865"/>
    <n v="18357451515"/>
  </r>
  <r>
    <s v="Hologic Inc."/>
    <s v="HOLOGIC, INC. (XNAS:HOLX)"/>
    <x v="13"/>
    <n v="5.7282E-2"/>
    <n v="74.16"/>
    <n v="0.85"/>
    <s v="(1.15%)"/>
    <n v="14.322800000000001"/>
    <n v="18229805439"/>
  </r>
  <r>
    <s v="Kellogg Company"/>
    <s v="KELLOGG COMPANY (XNYS:K)"/>
    <x v="20"/>
    <n v="5.7264000000000002E-2"/>
    <n v="71.08"/>
    <n v="-0.43"/>
    <s v="(-0.60%)"/>
    <n v="16.4724"/>
    <n v="24265086209"/>
  </r>
  <r>
    <s v="Conagra Brands Inc."/>
    <s v="CONAGRA BRANDS, INC. (XNYS:CAG)"/>
    <x v="20"/>
    <n v="5.6566999999999999E-2"/>
    <n v="38.450000000000003"/>
    <n v="0.32"/>
    <s v="(0.84%)"/>
    <n v="31.964400000000001"/>
    <n v="18426396240"/>
  </r>
  <r>
    <s v="Westinghouse Air Brake Technologies Corporation"/>
    <s v="WESTINGHOUSE AIR BRAKE TECHNOLOGIES CORPORATION (XNYS:WAB)"/>
    <x v="25"/>
    <n v="5.6402000000000001E-2"/>
    <n v="99.92"/>
    <n v="0.46"/>
    <s v="(0.46%)"/>
    <n v="27.681899999999999"/>
    <n v="18174059247"/>
  </r>
  <r>
    <s v="Amcor PLC"/>
    <s v="Amcor plc (XNYS:AMCR)"/>
    <x v="45"/>
    <n v="5.636E-2"/>
    <n v="12.02"/>
    <n v="-0.01"/>
    <s v="(-0.04%)"/>
    <n v="21.793099999999999"/>
    <n v="17890575300"/>
  </r>
  <r>
    <s v="Teledyne Technologies Incorporated"/>
    <s v="TELEDYNE TECHNOLOGIES INCORPORATED (XNYS:TDY)"/>
    <x v="36"/>
    <n v="5.6358999999999999E-2"/>
    <n v="393.62"/>
    <n v="3.34"/>
    <s v="(0.86%)"/>
    <n v="25.737200000000001"/>
    <n v="18461116218"/>
  </r>
  <r>
    <s v="Northern Trust Corporation"/>
    <s v="NORTHERN TRUST CORPORATION (XNAS:NTRS)"/>
    <x v="26"/>
    <n v="5.6154000000000003E-2"/>
    <n v="87.25"/>
    <n v="0.02"/>
    <s v="(0.02%)"/>
    <n v="11.888199999999999"/>
    <n v="18184269825"/>
  </r>
  <r>
    <s v="STERIS Plc"/>
    <s v="STERIS PUBLIC LIMITED COMPANY (XNYS:STE)"/>
    <x v="13"/>
    <n v="5.6023999999999997E-2"/>
    <n v="180.54"/>
    <n v="0.04"/>
    <s v="(0.02%)"/>
    <n v="43.032400000000003"/>
    <n v="18022035393"/>
  </r>
  <r>
    <s v="Tyson Foods Inc. Class A"/>
    <s v="TYSON FOODS, INC. (XNYS:TSN)"/>
    <x v="20"/>
    <n v="5.5359999999999999E-2"/>
    <n v="61.28"/>
    <n v="0.47"/>
    <s v="(0.77%)"/>
    <n v="6.8327"/>
    <n v="22035632304"/>
  </r>
  <r>
    <s v="CMS Energy Corporation"/>
    <s v="CMS ENERGY CORPORATION (XNYS:CMS)"/>
    <x v="35"/>
    <n v="5.5279000000000002E-2"/>
    <n v="61.87"/>
    <n v="0.28999999999999998"/>
    <s v="(0.47%)"/>
    <n v="24.702200000000001"/>
    <n v="17959317750"/>
  </r>
  <r>
    <s v="Mid-America Apartment Communities Inc."/>
    <s v="MID-AMERICA APARTMENT COMMUNITIES, INC. (XNYS:MAA)"/>
    <x v="30"/>
    <n v="5.5266000000000003E-2"/>
    <n v="154.37"/>
    <n v="-0.94"/>
    <s v="(-0.61%)"/>
    <n v="28.687000000000001"/>
    <n v="17934740000"/>
  </r>
  <r>
    <s v="Expeditors International of Washington Inc."/>
    <s v="EXPEDITORS INTERNATIONAL OF WASHINGTON, INC (XNAS:EXPD)"/>
    <x v="23"/>
    <n v="5.5086000000000003E-2"/>
    <n v="106.54"/>
    <n v="-1.48"/>
    <s v="(-1.37%)"/>
    <n v="11.357200000000001"/>
    <n v="16955983420"/>
  </r>
  <r>
    <s v="Ventas Inc."/>
    <s v="VENTAS, INC. (XNYS:VTR)"/>
    <x v="30"/>
    <n v="5.5035000000000001E-2"/>
    <n v="44.8"/>
    <n v="0.25"/>
    <s v="(0.56%)"/>
    <n v="822.40499999999997"/>
    <n v="17907366400"/>
  </r>
  <r>
    <s v="Quest Diagnostics Incorporated"/>
    <s v="QUEST DIAGNOSTICS INCORPORATED (XNYS:DGX)"/>
    <x v="4"/>
    <n v="5.5007E-2"/>
    <n v="150.32"/>
    <n v="-1.1299999999999999"/>
    <s v="(-0.75%)"/>
    <n v="14.9239"/>
    <n v="17118430125"/>
  </r>
  <r>
    <s v="Clorox Company"/>
    <s v="THE CLOROX COMPANY (XNYS:CLX)"/>
    <x v="10"/>
    <n v="5.4941999999999998E-2"/>
    <n v="142.54"/>
    <n v="-2.27"/>
    <s v="(-1.57%)"/>
    <n v="44.290399999999998"/>
    <n v="17587269392"/>
  </r>
  <r>
    <s v="PerkinElmer Inc."/>
    <s v="PERKINELMER, INC. (XNYS:PKI)"/>
    <x v="13"/>
    <n v="5.4045999999999997E-2"/>
    <n v="139.22999999999999"/>
    <n v="0.91"/>
    <s v="(0.66%)"/>
    <n v="28.436699999999998"/>
    <n v="17586962757"/>
  </r>
  <r>
    <s v="Invitation Homes Inc."/>
    <s v="INVITATION HOMES INC. (XNYS:INVH)"/>
    <x v="30"/>
    <n v="5.3775000000000003E-2"/>
    <n v="29.53"/>
    <n v="-0.23"/>
    <s v="(-0.76%)"/>
    <n v="50.742800000000003"/>
    <n v="18048820248"/>
  </r>
  <r>
    <s v="Marathon Oil Corporation"/>
    <s v="MARATHON OIL CORPORATION (XNYS:MRO)"/>
    <x v="6"/>
    <n v="5.3704000000000002E-2"/>
    <n v="27.27"/>
    <n v="0.24"/>
    <s v="(0.89%)"/>
    <n v="5.1976000000000004"/>
    <n v="17321474245"/>
  </r>
  <r>
    <s v="ABIOMED Inc."/>
    <s v="ABIOMED, INC. (XNAS:ABMD)"/>
    <x v="13"/>
    <n v="5.3452E-2"/>
    <n v="380.78"/>
    <n v="-0.52"/>
    <s v="(-0.14%)"/>
    <n v="65.533900000000003"/>
    <n v="17169819520"/>
  </r>
  <r>
    <s v="SolarEdge Technologies Inc."/>
    <s v="SOLAREDGE TECHNOLOGIES, INC. (XNAS:SEDG)"/>
    <x v="37"/>
    <n v="5.33E-2"/>
    <n v="309.52999999999997"/>
    <n v="-0.05"/>
    <s v="(-0.02%)"/>
    <n v="152.00970000000001"/>
    <n v="17303940000"/>
  </r>
  <r>
    <s v="IDEX Corporation"/>
    <s v="IDEX CORPORATION (XNYS:IEX)"/>
    <x v="25"/>
    <n v="5.3109999999999997E-2"/>
    <n v="227.99"/>
    <n v="1.72"/>
    <s v="(0.76%)"/>
    <n v="29.926400000000001"/>
    <n v="17195258868"/>
  </r>
  <r>
    <s v="Darden Restaurants Inc."/>
    <s v="DARDEN RESTAURANTS, INC. (XNYS:DRI)"/>
    <x v="15"/>
    <n v="5.2921000000000003E-2"/>
    <n v="139.65"/>
    <n v="1.2"/>
    <s v="(0.86%)"/>
    <n v="19.069099999999999"/>
    <n v="17090746579"/>
  </r>
  <r>
    <s v="West Pharmaceutical Services Inc."/>
    <s v="WEST PHARMACEUTICAL SERVICES, INC. (XNYS:WST)"/>
    <x v="13"/>
    <n v="5.2135000000000001E-2"/>
    <n v="229.06"/>
    <n v="0.83"/>
    <s v="(0.36%)"/>
    <n v="27.4727"/>
    <n v="16957626524"/>
  </r>
  <r>
    <s v="J.M. Smucker Company"/>
    <s v="THE J. M. SMUCKER COMPANY (XNYS:SJM)"/>
    <x v="20"/>
    <n v="5.2117999999999998E-2"/>
    <n v="155.61000000000001"/>
    <n v="-0.21"/>
    <s v="(-0.13%)"/>
    <n v="29.1645"/>
    <n v="16594094790"/>
  </r>
  <r>
    <s v="Best Buy Co. Inc."/>
    <s v="Best Buy Co., Inc. (XNYS:BBY)"/>
    <x v="11"/>
    <n v="5.0202999999999998E-2"/>
    <n v="79.400000000000006"/>
    <n v="-0.4"/>
    <s v="(-0.50%)"/>
    <n v="11.927899999999999"/>
    <n v="17656900000"/>
  </r>
  <r>
    <s v="Cincinnati Financial Corporation"/>
    <s v="CINCINNATI FINANCIAL CORPORATION (XNAS:CINF)"/>
    <x v="31"/>
    <n v="5.0092999999999999E-2"/>
    <n v="102.47"/>
    <n v="1.53"/>
    <s v="(1.52%)"/>
    <n v="32.0244"/>
    <n v="16313162518"/>
  </r>
  <r>
    <s v="Monolithic Power Systems Inc."/>
    <s v="MONOLITHIC POWER SYSTEMS, INC. (XNAS:MPWR)"/>
    <x v="7"/>
    <n v="4.9717999999999998E-2"/>
    <n v="360.15"/>
    <n v="1.1399999999999999"/>
    <s v="(0.32%)"/>
    <n v="44.310499999999998"/>
    <n v="16905691880"/>
  </r>
  <r>
    <s v="Ball Corporation"/>
    <s v="BALL CORPORATION (XNYS:BALL)"/>
    <x v="45"/>
    <n v="4.9590000000000002E-2"/>
    <n v="50.73"/>
    <n v="0.12"/>
    <s v="(0.24%)"/>
    <n v="17.298100000000002"/>
    <n v="15925166672"/>
  </r>
  <r>
    <s v="Etsy Inc."/>
    <s v="ETSY, INC. (XNAS:ETSY)"/>
    <x v="2"/>
    <n v="4.9389000000000002E-2"/>
    <n v="126.91"/>
    <n v="1"/>
    <s v="(0.79%)"/>
    <n v="31.364899999999999"/>
    <n v="15825420000"/>
  </r>
  <r>
    <s v="Omnicom Group Inc"/>
    <s v="OMNICOM GROUP INC. (XNYS:OMC)"/>
    <x v="19"/>
    <n v="4.9325000000000001E-2"/>
    <n v="77.91"/>
    <n v="0.6"/>
    <s v="(0.78%)"/>
    <n v="12.492800000000001"/>
    <n v="15764760000"/>
  </r>
  <r>
    <s v="FactSet Research Systems Inc."/>
    <s v="FACTSET RESEARCH SYSTEMS INC. (XNYS:FDS)"/>
    <x v="27"/>
    <n v="4.9112999999999997E-2"/>
    <n v="396.84"/>
    <n v="-23.06"/>
    <s v="(-5.49%)"/>
    <n v="41.062600000000003"/>
    <n v="15118897624"/>
  </r>
  <r>
    <s v="Atmos Energy Corporation"/>
    <s v="ATMOS ENERGY CORPORATION (XNYS:ATO)"/>
    <x v="46"/>
    <n v="4.9050000000000003E-2"/>
    <n v="113.17"/>
    <n v="-0.31"/>
    <s v="(-0.27%)"/>
    <n v="20.206900000000001"/>
    <n v="16002490000"/>
  </r>
  <r>
    <s v="Broadridge Financial Solutions Inc."/>
    <s v="BROADRIDGE FINANCIAL SOLUTIONS, INC. (XNYS:BR)"/>
    <x v="27"/>
    <n v="4.9035000000000002E-2"/>
    <n v="133.33000000000001"/>
    <n v="0.12"/>
    <s v="(0.09%)"/>
    <n v="30.245899999999999"/>
    <n v="15672870000"/>
  </r>
  <r>
    <s v="First Solar Inc."/>
    <s v="FIRST SOLAR, INC. (XNAS:FSLR)"/>
    <x v="37"/>
    <n v="4.8626000000000003E-2"/>
    <n v="156.68"/>
    <n v="-0.1"/>
    <s v="(-0.06%)"/>
    <n v="178.02629999999999"/>
    <n v="16702432380"/>
  </r>
  <r>
    <s v="Targa Resources Corp."/>
    <s v="TARGA RESOURCES CORP. (XNYS:TRGP)"/>
    <x v="33"/>
    <n v="4.8625000000000002E-2"/>
    <n v="69.84"/>
    <n v="0.8"/>
    <s v="(1.16%)"/>
    <n v="66.395499999999998"/>
    <n v="15810057936"/>
  </r>
  <r>
    <s v="Take-Two Interactive Software Inc."/>
    <s v="TAKE-TWO INTERACTIVE SOFTWARE, INC. (XNAS:TTWO)"/>
    <x v="47"/>
    <n v="4.827E-2"/>
    <n v="98.16"/>
    <n v="-0.43"/>
    <s v="(-0.44%)"/>
    <n v="71.5261"/>
    <n v="16473122856"/>
  </r>
  <r>
    <s v="FMC Corporation"/>
    <s v="FMC CORPORATION (XNYS:FMC)"/>
    <x v="18"/>
    <n v="4.8215000000000001E-2"/>
    <n v="124.36"/>
    <n v="1.6"/>
    <s v="(1.30%)"/>
    <n v="21.302299999999999"/>
    <n v="15463580000"/>
  </r>
  <r>
    <s v="Cooper Companies Inc."/>
    <s v="THE COOPER COMPANIES, INC. (XNYS:COO)"/>
    <x v="13"/>
    <n v="4.8092999999999997E-2"/>
    <n v="319.76"/>
    <n v="3.5"/>
    <s v="(1.11%)"/>
    <n v="40.750500000000002"/>
    <n v="15781556548"/>
  </r>
  <r>
    <s v="Mosaic Company"/>
    <s v="THE MOSAIC COMPANY (XNYS:MOS)"/>
    <x v="18"/>
    <n v="4.7951000000000001E-2"/>
    <n v="45.43"/>
    <n v="0.89"/>
    <s v="(2.00%)"/>
    <n v="4.3543000000000003"/>
    <n v="15165030000"/>
  </r>
  <r>
    <s v="KeyCorp"/>
    <s v="KEYCORP (XNYS:KEY)"/>
    <x v="9"/>
    <n v="4.7946000000000003E-2"/>
    <n v="16.649999999999999"/>
    <n v="0"/>
    <s v="(0.00%)"/>
    <n v="7.625"/>
    <n v="15538608688"/>
  </r>
  <r>
    <s v="Jacobs Solutions Inc."/>
    <s v="JACOBS SOLUTIONS INC. (XNYS:J)"/>
    <x v="44"/>
    <n v="4.7659E-2"/>
    <n v="118.34"/>
    <n v="-0.18"/>
    <s v="(-0.15%)"/>
    <n v="23.781099999999999"/>
    <n v="14980649016"/>
  </r>
  <r>
    <s v="Las Vegas Sands Corp."/>
    <s v="LAS VEGAS SANDS CORP. (XNYS:LVS)"/>
    <x v="15"/>
    <n v="4.7494000000000001E-2"/>
    <n v="46.55"/>
    <n v="0.19"/>
    <s v="(0.40%)"/>
    <n v="0"/>
    <n v="35568120433"/>
  </r>
  <r>
    <s v="Paycom Software Inc."/>
    <s v="PAYCOM SOFTWARE, INC. (XNYS:PAYC)"/>
    <x v="1"/>
    <n v="4.7080999999999998E-2"/>
    <n v="303.64"/>
    <n v="-5.95"/>
    <s v="(-1.92%)"/>
    <n v="71.961200000000005"/>
    <n v="17570571914"/>
  </r>
  <r>
    <s v="Incyte Corporation"/>
    <s v="INCYTE CORPORATION (XNAS:INCY)"/>
    <x v="5"/>
    <n v="4.6815000000000002E-2"/>
    <n v="81.16"/>
    <n v="0.56999999999999995"/>
    <s v="(0.71%)"/>
    <n v="20.4771"/>
    <n v="18056111580"/>
  </r>
  <r>
    <s v="J.B. Hunt Transport Services Inc."/>
    <s v="J. B. HUNT TRANSPORT SERVICES, INC. (XNAS:JBHT)"/>
    <x v="23"/>
    <n v="4.6611E-2"/>
    <n v="176.07"/>
    <n v="-3.47"/>
    <s v="(-1.93%)"/>
    <n v="18.7742"/>
    <n v="18229312331"/>
  </r>
  <r>
    <s v="Skyworks Solutions Inc."/>
    <s v="SKYWORKS SOLUTIONS, INC. (XNAS:SWKS)"/>
    <x v="7"/>
    <n v="4.5811999999999999E-2"/>
    <n v="89.99"/>
    <n v="-1.69"/>
    <s v="(-1.84%)"/>
    <n v="11.758900000000001"/>
    <n v="14412897389"/>
  </r>
  <r>
    <s v="Textron Inc."/>
    <s v="TEXTRON INC. (XNYS:TXT)"/>
    <x v="22"/>
    <n v="4.5678000000000003E-2"/>
    <n v="69.69"/>
    <n v="0.41"/>
    <s v="(0.59%)"/>
    <n v="17.9009"/>
    <n v="14549285835"/>
  </r>
  <r>
    <s v="Synchrony Financial"/>
    <s v="SYNCHRONY FINANCIAL (XNYS:SYF)"/>
    <x v="9"/>
    <n v="4.5641000000000001E-2"/>
    <n v="32.69"/>
    <n v="0.31"/>
    <s v="(0.94%)"/>
    <n v="5.1224999999999996"/>
    <n v="14725945659"/>
  </r>
  <r>
    <s v="W. R. Berkley Corporation"/>
    <s v="W. R. BERKLEY CORPORATION (XNYS:WRB)"/>
    <x v="31"/>
    <n v="4.5504000000000003E-2"/>
    <n v="72.86"/>
    <n v="1.33"/>
    <s v="(1.86%)"/>
    <n v="16.697700000000001"/>
    <n v="19342588646"/>
  </r>
  <r>
    <s v="Avery Dennison Corporation"/>
    <s v="AVERY DENNISON CORPORATION (XNYS:AVY)"/>
    <x v="45"/>
    <n v="4.5164000000000003E-2"/>
    <n v="178.52"/>
    <n v="2.04"/>
    <s v="(1.16%)"/>
    <n v="17.8386"/>
    <n v="14448110144"/>
  </r>
  <r>
    <s v="NVR Inc."/>
    <s v="NVR, Inc. (XNYS:NVR)"/>
    <x v="39"/>
    <n v="4.5130000000000003E-2"/>
    <n v="4622.99"/>
    <n v="-62.21"/>
    <s v="(-1.33%)"/>
    <n v="10.462999999999999"/>
    <n v="14973370000"/>
  </r>
  <r>
    <s v="Align Technology Inc."/>
    <s v="ALIGN TECHNOLOGY, INC. (XNAS:ALGN)"/>
    <x v="13"/>
    <n v="4.5094000000000002E-2"/>
    <n v="200.46"/>
    <n v="1.7"/>
    <s v="(0.86%)"/>
    <n v="30.773900000000001"/>
    <n v="15658401681"/>
  </r>
  <r>
    <s v="Iron Mountain Inc."/>
    <s v="IRON MOUNTAIN INCORPORATED (XNYS:IRM)"/>
    <x v="30"/>
    <n v="4.5060000000000003E-2"/>
    <n v="50.14"/>
    <n v="-0.08"/>
    <s v="(-0.15%)"/>
    <n v="29.572299999999998"/>
    <n v="14574951403"/>
  </r>
  <r>
    <s v="APA Corp."/>
    <s v="APA CORPORATION (XNAS:APA)"/>
    <x v="6"/>
    <n v="4.4618999999999999E-2"/>
    <n v="44.3"/>
    <n v="0.46"/>
    <s v="(1.05%)"/>
    <n v="4.1890999999999998"/>
    <n v="14241365181"/>
  </r>
  <r>
    <s v="Leidos Holdings Inc."/>
    <s v="LEIDOS HOLDINGS, INC. (XNYS:LDOS)"/>
    <x v="1"/>
    <n v="4.4419E-2"/>
    <n v="104.58"/>
    <n v="0.13"/>
    <s v="(0.12%)"/>
    <n v="21.404499999999999"/>
    <n v="14277220000"/>
  </r>
  <r>
    <s v="Evergy Inc."/>
    <s v="Evergy, Inc. (XNYS:EVRG)"/>
    <x v="17"/>
    <n v="4.3602000000000002E-2"/>
    <n v="62.04"/>
    <n v="0.35"/>
    <s v="(0.56%)"/>
    <n v="17.804300000000001"/>
    <n v="14240438256"/>
  </r>
  <r>
    <s v="Garmin Ltd."/>
    <s v="Garmin Ltd (XNYS:GRMN)"/>
    <x v="16"/>
    <n v="4.3429000000000002E-2"/>
    <n v="90.34"/>
    <n v="0.04"/>
    <s v="(0.04%)"/>
    <n v="18.066600000000001"/>
    <n v="17314916726"/>
  </r>
  <r>
    <s v="Howmet Aerospace Inc."/>
    <s v="HOWMET AEROSPACE INC. (XNYS:HWM)"/>
    <x v="22"/>
    <n v="4.3270000000000003E-2"/>
    <n v="38.380000000000003"/>
    <n v="0.8"/>
    <s v="(2.13%)"/>
    <n v="36.503500000000003"/>
    <n v="15876198000"/>
  </r>
  <r>
    <s v="Teradyne Inc."/>
    <s v="TERADYNE, INC. (XNAS:TER)"/>
    <x v="7"/>
    <n v="4.3219E-2"/>
    <n v="88.18"/>
    <n v="-0.22"/>
    <s v="(-0.25%)"/>
    <n v="19.924299999999999"/>
    <n v="13728342654"/>
  </r>
  <r>
    <s v="LKQ Corporation"/>
    <s v="LKQ CORPORATION (XNAS:LKQ)"/>
    <x v="8"/>
    <n v="4.2849999999999999E-2"/>
    <n v="52.95"/>
    <n v="0.22"/>
    <s v="(0.42%)"/>
    <n v="12.5875"/>
    <n v="14146916250"/>
  </r>
  <r>
    <s v="Alliant Energy Corp"/>
    <s v="ALLIANT ENERGY CORPORATION (XNAS:LNT)"/>
    <x v="17"/>
    <n v="4.1967999999999998E-2"/>
    <n v="54.26"/>
    <n v="-0.03"/>
    <s v="(-0.06%)"/>
    <n v="20.468599999999999"/>
    <n v="13627980000"/>
  </r>
  <r>
    <s v="Essex Property Trust Inc."/>
    <s v="ESSEX PROPERTY TRUST, INC. (XNYS:ESS)"/>
    <x v="30"/>
    <n v="4.1908000000000001E-2"/>
    <n v="207.77"/>
    <n v="-0.8"/>
    <s v="(-0.38%)"/>
    <n v="37.768999999999998"/>
    <n v="13453899103"/>
  </r>
  <r>
    <s v="FLEETCOR Technologies Inc."/>
    <s v="FLEETCOR TECHNOLOGIES, INC. (XNYS:FLT)"/>
    <x v="27"/>
    <n v="4.1832000000000001E-2"/>
    <n v="179.09"/>
    <n v="0.13"/>
    <s v="(0.07%)"/>
    <n v="14.7234"/>
    <n v="13209047676"/>
  </r>
  <r>
    <s v="Tyler Technologies Inc."/>
    <s v="TYLER TECHNOLOGIES, INC. (XNYS:TYL)"/>
    <x v="1"/>
    <n v="4.1695999999999997E-2"/>
    <n v="320.10000000000002"/>
    <n v="0.05"/>
    <s v="(0.02%)"/>
    <n v="72.260199999999998"/>
    <n v="13334553376"/>
  </r>
  <r>
    <s v="Akamai Technologies Inc."/>
    <s v="AKAMAI TECHNOLOGIES, INC. (XNAS:AKAM)"/>
    <x v="1"/>
    <n v="4.1623E-2"/>
    <n v="84.59"/>
    <n v="0.52"/>
    <s v="(0.62%)"/>
    <n v="26.940300000000001"/>
    <n v="13301126157"/>
  </r>
  <r>
    <s v="Healthpeak Properties Inc."/>
    <s v="HEALTHPEAK PROPERTIES, INC. (XNYS:PEAK)"/>
    <x v="30"/>
    <n v="4.1452999999999997E-2"/>
    <n v="24.8"/>
    <n v="-0.11"/>
    <s v="(-0.42%)"/>
    <n v="26.359500000000001"/>
    <n v="13328309259"/>
  </r>
  <r>
    <s v="EQT Corporation"/>
    <s v="EQT CORPORATION (XNYS:EQT)"/>
    <x v="6"/>
    <n v="4.1095E-2"/>
    <n v="36.21"/>
    <n v="0.1"/>
    <s v="(0.26%)"/>
    <n v="7.8571999999999997"/>
    <n v="13288900430"/>
  </r>
  <r>
    <s v="Hormel Foods Corporation"/>
    <s v="HORMEL FOODS CORPORATION (XNYS:HRL)"/>
    <x v="20"/>
    <n v="4.1041000000000001E-2"/>
    <n v="45.24"/>
    <n v="-0.25"/>
    <s v="(-0.55%)"/>
    <n v="25.000800000000002"/>
    <n v="24720886517"/>
  </r>
  <r>
    <s v="NetApp Inc."/>
    <s v="NETAPP, INC. (XNAS:NTAP)"/>
    <x v="0"/>
    <n v="4.0968999999999998E-2"/>
    <n v="59.46"/>
    <n v="0.27"/>
    <s v="(0.46%)"/>
    <n v="8.9738000000000007"/>
    <n v="12822305832"/>
  </r>
  <r>
    <s v="Viatris Inc."/>
    <s v="VIATRIS INC. (XNAS:VTRS)"/>
    <x v="5"/>
    <n v="4.0745999999999997E-2"/>
    <n v="10.78"/>
    <n v="-0.13"/>
    <s v="(-1.19%)"/>
    <n v="16.537299999999998"/>
    <n v="13078807725"/>
  </r>
  <r>
    <s v="Cboe Global Markets Inc"/>
    <s v="Cboe Global Markets, Inc. (BATS:CBOE)"/>
    <x v="26"/>
    <n v="4.0598000000000002E-2"/>
    <n v="122.8"/>
    <n v="-0.46"/>
    <s v="(-0.37%)"/>
    <n v="62.533999999999999"/>
    <n v="13025302927"/>
  </r>
  <r>
    <s v="Kimco Realty Corporation"/>
    <s v="KIMCO REALTY CORPORATION (XNYS:KIM)"/>
    <x v="30"/>
    <n v="4.0111000000000001E-2"/>
    <n v="20.93"/>
    <n v="-0.05"/>
    <s v="(-0.24%)"/>
    <n v="55.6646"/>
    <n v="12947476848"/>
  </r>
  <r>
    <s v="PTC Inc."/>
    <s v="PTC INC. (XNAS:PTC)"/>
    <x v="1"/>
    <n v="4.0085999999999997E-2"/>
    <n v="122.21"/>
    <n v="-0.28999999999999998"/>
    <s v="(-0.24%)"/>
    <n v="46.265500000000003"/>
    <n v="14356253120"/>
  </r>
  <r>
    <s v="Brown &amp; Brown Inc."/>
    <s v="BROWN &amp; BROWN, INC. (XNYS:BRO)"/>
    <x v="31"/>
    <n v="4.0009000000000003E-2"/>
    <n v="55.53"/>
    <n v="0.12"/>
    <s v="(0.22%)"/>
    <n v="25.037500000000001"/>
    <n v="15730172096"/>
  </r>
  <r>
    <s v="Jack Henry &amp; Associates Inc."/>
    <s v="JACK HENRY &amp; ASSOCIATES, INC. (XNAS:JKHY)"/>
    <x v="1"/>
    <n v="3.9967999999999997E-2"/>
    <n v="176.3"/>
    <n v="0.93"/>
    <s v="(0.53%)"/>
    <n v="34.966000000000001"/>
    <n v="12860984509"/>
  </r>
  <r>
    <s v="Domino's Pizza Inc."/>
    <s v="DOMINO'S PIZZA, INC. (XNYS:DPZ)"/>
    <x v="15"/>
    <n v="3.9836999999999997E-2"/>
    <n v="354.47"/>
    <n v="-1.86"/>
    <s v="(-0.52%)"/>
    <n v="28.870999999999999"/>
    <n v="12548018228"/>
  </r>
  <r>
    <s v="Expedia Group Inc."/>
    <s v="EXPEDIA GROUP, INC. (XNAS:EXPE)"/>
    <x v="15"/>
    <n v="3.9718000000000003E-2"/>
    <n v="85.6"/>
    <n v="0.34"/>
    <s v="(0.40%)"/>
    <n v="20.3583"/>
    <n v="13361381040"/>
  </r>
  <r>
    <s v="Everest Re Group Ltd."/>
    <s v="EVEREST RE GROUP, LTD. (XNYS:RE)"/>
    <x v="31"/>
    <n v="3.9666E-2"/>
    <n v="325.86"/>
    <n v="3.48"/>
    <s v="(1.08%)"/>
    <n v="24.0656"/>
    <n v="12762316675"/>
  </r>
  <r>
    <s v="International Paper Company"/>
    <s v="INTERNATIONAL PAPER COMPANY (XNYS:IP)"/>
    <x v="45"/>
    <n v="3.9371999999999997E-2"/>
    <n v="34.74"/>
    <n v="-0.18"/>
    <s v="(-0.52%)"/>
    <n v="6.6341999999999999"/>
    <n v="12355975800"/>
  </r>
  <r>
    <s v="Zebra Technologies Corporation Class A"/>
    <s v="ZEBRA TECHNOLOGIES CORPORATION (XNAS:ZBRA)"/>
    <x v="36"/>
    <n v="3.9343000000000003E-2"/>
    <n v="247.88"/>
    <n v="4.17"/>
    <s v="(1.71%)"/>
    <n v="27.8188"/>
    <n v="12797736675"/>
  </r>
  <r>
    <s v="Nordson Corporation"/>
    <s v="NORDSON CORPORATION (XNAS:NDSN)"/>
    <x v="25"/>
    <n v="3.9255999999999999E-2"/>
    <n v="232.66"/>
    <n v="-0.74"/>
    <s v="(-0.32%)"/>
    <n v="26.480399999999999"/>
    <n v="13310641462"/>
  </r>
  <r>
    <s v="Interpublic Group of Companies Inc."/>
    <s v="THE INTERPUBLIC GROUP OF COMPANIES, INC. (XNYS:IPG)"/>
    <x v="19"/>
    <n v="3.9107999999999997E-2"/>
    <n v="32.54"/>
    <n v="0.37"/>
    <s v="(1.15%)"/>
    <n v="12.7896"/>
    <n v="12642593738"/>
  </r>
  <r>
    <s v="Lamb Weston Holdings Inc."/>
    <s v="LAMB WESTON HOLDINGS, INC. (XNYS:LW)"/>
    <x v="20"/>
    <n v="3.9021E-2"/>
    <n v="87.7"/>
    <n v="0.59"/>
    <s v="(0.67%)"/>
    <n v="31.343299999999999"/>
    <n v="12613277083"/>
  </r>
  <r>
    <s v="United Airlines Holdings Inc."/>
    <s v="UNITED AIRLINES HOLDINGS, INC. (XNAS:UAL)"/>
    <x v="43"/>
    <n v="3.8844999999999998E-2"/>
    <n v="38.54"/>
    <n v="0.56000000000000005"/>
    <s v="(1.46%)"/>
    <n v="8.7719000000000005"/>
    <n v="12598162772"/>
  </r>
  <r>
    <s v="Bio-Techne Corporation"/>
    <s v="BIO-TECHNE CORPORATION (XNAS:TECH)"/>
    <x v="32"/>
    <n v="3.8827E-2"/>
    <n v="81.13"/>
    <n v="0.34"/>
    <s v="(0.42%)"/>
    <n v="45.268599999999999"/>
    <n v="12744353705"/>
  </r>
  <r>
    <s v="Gen Digital Inc."/>
    <s v="GEN DIGITAL INC. (XNAS:GEN)"/>
    <x v="1"/>
    <n v="3.8767000000000003E-2"/>
    <n v="21.45"/>
    <n v="-0.14000000000000001"/>
    <s v="(-0.63%)"/>
    <n v="21.755299999999998"/>
    <n v="14276476500"/>
  </r>
  <r>
    <s v="Trimble Inc."/>
    <s v="TRIMBLE INC. (XNAS:TRMB)"/>
    <x v="1"/>
    <n v="3.8494E-2"/>
    <n v="49.17"/>
    <n v="-0.39"/>
    <s v="(-0.79%)"/>
    <n v="26.021899999999999"/>
    <n v="12126536499"/>
  </r>
  <r>
    <s v="Pool Corporation"/>
    <s v="POOL CORPORATION (XNAS:POOL)"/>
    <x v="47"/>
    <n v="3.8123999999999998E-2"/>
    <n v="303.7"/>
    <n v="-4.4400000000000004"/>
    <s v="(-1.44%)"/>
    <n v="15.7553"/>
    <n v="11859673294"/>
  </r>
  <r>
    <s v="SVB Financial Group"/>
    <s v="SVB FINANCIAL GROUP (XNAS:SIVB)"/>
    <x v="9"/>
    <n v="3.8099000000000001E-2"/>
    <n v="212.16"/>
    <n v="1.77"/>
    <s v="(0.84%)"/>
    <n v="7.8097000000000003"/>
    <n v="12539530099"/>
  </r>
  <r>
    <s v="Packaging Corporation of America"/>
    <s v="PACKAGING CORPORATION OF AMERICA (XNYS:PKG)"/>
    <x v="45"/>
    <n v="3.7740999999999997E-2"/>
    <n v="127.92"/>
    <n v="-0.69"/>
    <s v="(-0.54%)"/>
    <n v="11.7112"/>
    <n v="11836548009"/>
  </r>
  <r>
    <s v="Snap-on Incorporated"/>
    <s v="SNAP-ON INCORPORATED (XNYS:SNA)"/>
    <x v="25"/>
    <n v="3.7356E-2"/>
    <n v="225.11"/>
    <n v="0.98"/>
    <s v="(0.44%)"/>
    <n v="13.5809"/>
    <n v="11965375237"/>
  </r>
  <r>
    <s v="Brown-Forman Corporation Class B"/>
    <s v="BROWN-FORMAN CORPORATION (XNYS:BF.B)"/>
    <x v="12"/>
    <n v="3.6935000000000003E-2"/>
    <n v="65.2"/>
    <n v="-0.26"/>
    <s v="(-0.40%)"/>
    <n v="35.493499999999997"/>
    <n v="31380400000"/>
  </r>
  <r>
    <s v="Host Hotels &amp; Resorts Inc."/>
    <s v="HOST HOTELS &amp; RESORTS, INC. (XNAS:HST)"/>
    <x v="30"/>
    <n v="3.6835E-2"/>
    <n v="16.97"/>
    <n v="0.19"/>
    <s v="(1.10%)"/>
    <n v="14.9217"/>
    <n v="12130446627"/>
  </r>
  <r>
    <s v="UDR Inc."/>
    <s v="UDR, INC. (XNYS:UDR)"/>
    <x v="30"/>
    <n v="3.6811000000000003E-2"/>
    <n v="38.020000000000003"/>
    <n v="-0.43"/>
    <s v="(-1.12%)"/>
    <n v="77.865499999999997"/>
    <n v="12375471527"/>
  </r>
  <r>
    <s v="Camden Property Trust"/>
    <s v="CAMDEN PROPERTY TRUST (XNYS:CPT)"/>
    <x v="30"/>
    <n v="3.6547000000000003E-2"/>
    <n v="110"/>
    <n v="-0.39"/>
    <s v="(-0.35%)"/>
    <n v="14.597300000000001"/>
    <n v="11715949440"/>
  </r>
  <r>
    <s v="C.H. Robinson Worldwide Inc."/>
    <s v="C.H. ROBINSON WORLDWIDE, INC. (XNAS:CHRW)"/>
    <x v="23"/>
    <n v="3.6117000000000003E-2"/>
    <n v="92.44"/>
    <n v="-1.08"/>
    <s v="(-1.15%)"/>
    <n v="11.342599999999999"/>
    <n v="11007010000"/>
  </r>
  <r>
    <s v="Campbell Soup Company"/>
    <s v="CAMPBELL SOUP COMPANY (XNYS:CPB)"/>
    <x v="20"/>
    <n v="3.5865000000000001E-2"/>
    <n v="56.28"/>
    <n v="-0.55000000000000004"/>
    <s v="(-0.97%)"/>
    <n v="21.608599999999999"/>
    <n v="16854036528"/>
  </r>
  <r>
    <s v="Match Group Inc."/>
    <s v="MATCH GROUP, INC. (XNAS:MTCH)"/>
    <x v="1"/>
    <n v="3.5361999999999998E-2"/>
    <n v="40.26"/>
    <n v="-0.12"/>
    <s v="(-0.28%)"/>
    <n v="106.76220000000001"/>
    <n v="11244863586"/>
  </r>
  <r>
    <s v="Royal Caribbean Group"/>
    <s v="ROYAL CARIBBEAN CRUISES LTD. (XNYS:RCL)"/>
    <x v="15"/>
    <n v="3.5152999999999997E-2"/>
    <n v="50.92"/>
    <n v="-0.56000000000000005"/>
    <s v="(-1.08%)"/>
    <n v="0"/>
    <n v="12992591530"/>
  </r>
  <r>
    <s v="Teleflex Incorporated"/>
    <s v="TELEFLEX INCORPORATED (XNYS:TFX)"/>
    <x v="13"/>
    <n v="3.5143000000000001E-2"/>
    <n v="241.86"/>
    <n v="-1.49"/>
    <s v="(-0.61%)"/>
    <n v="27.953900000000001"/>
    <n v="11345964239"/>
  </r>
  <r>
    <s v="MGM Resorts International"/>
    <s v="MGM RESORTS INTERNATIONAL (XNYS:MGM)"/>
    <x v="15"/>
    <n v="3.4811000000000002E-2"/>
    <n v="34.47"/>
    <n v="0.25"/>
    <s v="(0.73%)"/>
    <n v="11.6997"/>
    <n v="13141170000"/>
  </r>
  <r>
    <s v="Henry Schein Inc."/>
    <s v="HENRY SCHEIN, INC. (XNAS:HSIC)"/>
    <x v="13"/>
    <n v="3.4796000000000001E-2"/>
    <n v="80.78"/>
    <n v="0.09"/>
    <s v="(0.11%)"/>
    <n v="17.564900000000002"/>
    <n v="10937330000"/>
  </r>
  <r>
    <s v="Stanley Black &amp; Decker Inc."/>
    <s v="STANLEY BLACK &amp; DECKER, INC. (XNYS:SWK)"/>
    <x v="25"/>
    <n v="3.4424999999999997E-2"/>
    <n v="74.680000000000007"/>
    <n v="-0.11"/>
    <s v="(-0.15%)"/>
    <n v="21.631900000000002"/>
    <n v="11048293624"/>
  </r>
  <r>
    <s v="NiSource Inc"/>
    <s v="NISOURCE INC. (XNYS:NI)"/>
    <x v="35"/>
    <n v="3.4114999999999999E-2"/>
    <n v="27.09"/>
    <n v="0.04"/>
    <s v="(0.15%)"/>
    <n v="17.571300000000001"/>
    <n v="11004208858"/>
  </r>
  <r>
    <s v="Charles River Laboratories International Inc."/>
    <s v="CHARLES RIVER LABORATORIES INTERNATIONAL, INC. (XNYS:CRL)"/>
    <x v="32"/>
    <n v="3.3606999999999998E-2"/>
    <n v="213.34"/>
    <n v="-3.19"/>
    <s v="(-1.47%)"/>
    <n v="25.502500000000001"/>
    <n v="10854453324"/>
  </r>
  <r>
    <s v="Loews Corporation"/>
    <s v="LOEWS CORPORATION (XNYS:L)"/>
    <x v="31"/>
    <n v="3.3424000000000002E-2"/>
    <n v="55.76"/>
    <n v="0.81"/>
    <s v="(1.47%)"/>
    <n v="13.7699"/>
    <n v="13046620000"/>
  </r>
  <r>
    <s v="Globe Life Inc."/>
    <s v="GLOBE LIFE INC. (XNYS:GL)"/>
    <x v="31"/>
    <n v="3.3257000000000002E-2"/>
    <n v="118.12"/>
    <n v="0.26"/>
    <s v="(0.22%)"/>
    <n v="16.6281"/>
    <n v="11489559567"/>
  </r>
  <r>
    <s v="Masco Corporation"/>
    <s v="MASCO CORPORATION (XNYS:MAS)"/>
    <x v="39"/>
    <n v="3.3021000000000002E-2"/>
    <n v="46.5"/>
    <n v="-0.46"/>
    <s v="(-0.98%)"/>
    <n v="12.8759"/>
    <n v="10487103150"/>
  </r>
  <r>
    <s v="PulteGroup Inc."/>
    <s v="PULTEGROUP, INC. (XNYS:PHM)"/>
    <x v="39"/>
    <n v="3.2503999999999998E-2"/>
    <n v="44.74"/>
    <n v="-0.35"/>
    <s v="(-0.77%)"/>
    <n v="4.5511999999999997"/>
    <n v="10191514279"/>
  </r>
  <r>
    <s v="MarketAxess Holdings Inc."/>
    <s v="MARKETAXESS HOLDINGS INC. (XNAS:MKTX)"/>
    <x v="26"/>
    <n v="3.1838999999999999E-2"/>
    <n v="266.33999999999997"/>
    <n v="-5.14"/>
    <s v="(-1.89%)"/>
    <n v="42.141100000000002"/>
    <n v="10217640000"/>
  </r>
  <r>
    <s v="Juniper Networks Inc."/>
    <s v="JUNIPER NETWORKS, INC. (XNYS:JNPR)"/>
    <x v="16"/>
    <n v="3.1799000000000001E-2"/>
    <n v="31.77"/>
    <n v="0.1"/>
    <s v="(0.30%)"/>
    <n v="24.678000000000001"/>
    <n v="10309505457"/>
  </r>
  <r>
    <s v="Celanese Corporation"/>
    <s v="CELANESE CORPORATION (XNYS:CE)"/>
    <x v="18"/>
    <n v="3.1379999999999998E-2"/>
    <n v="101.37"/>
    <n v="0.39"/>
    <s v="(0.39%)"/>
    <n v="6.6468999999999996"/>
    <n v="10991356497"/>
  </r>
  <r>
    <s v="Seagate Technology Holdings PLC"/>
    <s v="SEAGATE TECHNOLOGY HOLDINGS PUBLIC LIMITED COMPANY (XNAS:STX)"/>
    <x v="0"/>
    <n v="3.1009999999999999E-2"/>
    <n v="51.11"/>
    <n v="0.12"/>
    <s v="(0.24%)"/>
    <n v="9.6908999999999992"/>
    <n v="10527110000"/>
  </r>
  <r>
    <s v="Eastman Chemical Company"/>
    <s v="EASTMAN CHEMICAL COMPANY (XNYS:EMN)"/>
    <x v="18"/>
    <n v="3.0904999999999998E-2"/>
    <n v="81.010000000000005"/>
    <n v="0.3"/>
    <s v="(0.37%)"/>
    <n v="8.8964999999999996"/>
    <n v="9727621728"/>
  </r>
  <r>
    <s v="Western Digital Corporation"/>
    <s v="WESTERN DIGITAL CORPORATION (XNAS:WDC)"/>
    <x v="0"/>
    <n v="3.0609999999999998E-2"/>
    <n v="32.1"/>
    <n v="0.54"/>
    <s v="(1.70%)"/>
    <n v="10.8574"/>
    <n v="10194986378"/>
  </r>
  <r>
    <s v="Live Nation Entertainment Inc."/>
    <s v="LIVE NATION ENTERTAINMENT, INC. (XNYS:LYV)"/>
    <x v="19"/>
    <n v="3.0290999999999998E-2"/>
    <n v="68.819999999999993"/>
    <n v="0.43"/>
    <s v="(0.63%)"/>
    <n v="99.590800000000002"/>
    <n v="15889154717"/>
  </r>
  <r>
    <s v="Molson Coors Beverage Company Class B"/>
    <s v="MOLSON COORS BEVERAGE COMPANY (XNYS:TAP)"/>
    <x v="12"/>
    <n v="3.0269000000000001E-2"/>
    <n v="50.84"/>
    <n v="-0.86"/>
    <s v="(-1.65%)"/>
    <n v="22.6995"/>
    <n v="10553520000"/>
  </r>
  <r>
    <s v="BorgWarner Inc."/>
    <s v="BORGWARNER INC. (XNYS:BWA)"/>
    <x v="8"/>
    <n v="3.0190000000000002E-2"/>
    <n v="40.46"/>
    <n v="-0.16"/>
    <s v="(-0.39%)"/>
    <n v="11.806800000000001"/>
    <n v="9473866794"/>
  </r>
  <r>
    <s v="Ceridian HCM Holding Inc."/>
    <s v="CERIDIAN HCM HOLDING INC. (XNYS:CDAY)"/>
    <x v="1"/>
    <n v="3.0134000000000001E-2"/>
    <n v="63.03"/>
    <n v="-0.11"/>
    <s v="(-0.17%)"/>
    <n v="0"/>
    <n v="9682622496"/>
  </r>
  <r>
    <s v="Qorvo Inc."/>
    <s v="QORVO, INC. (XNAS:QRVO)"/>
    <x v="7"/>
    <n v="2.9936999999999998E-2"/>
    <n v="91.26"/>
    <n v="-1.76"/>
    <s v="(-1.89%)"/>
    <n v="14.6053"/>
    <n v="9250777980"/>
  </r>
  <r>
    <s v="Caesars Entertainment Inc"/>
    <s v="CAESARS ENTERTAINMENT, INC. (XNAS:CZR)"/>
    <x v="15"/>
    <n v="2.9850999999999999E-2"/>
    <n v="45.12"/>
    <n v="0.08"/>
    <s v="(0.18%)"/>
    <n v="20.490400000000001"/>
    <n v="9681222432"/>
  </r>
  <r>
    <s v="Regency Centers Corporation"/>
    <s v="REGENCY CENTERS CORPORATION (XNAS:REG)"/>
    <x v="30"/>
    <n v="2.9427999999999999E-2"/>
    <n v="61.82"/>
    <n v="-0.51"/>
    <s v="(-0.82%)"/>
    <n v="23.516400000000001"/>
    <n v="10577094087"/>
  </r>
  <r>
    <s v="CarMax Inc."/>
    <s v="CARMAX, INC. (XNYS:KMX)"/>
    <x v="11"/>
    <n v="2.9214E-2"/>
    <n v="57.76"/>
    <n v="-0.33"/>
    <s v="(-0.57%)"/>
    <n v="11.7247"/>
    <n v="9129345512"/>
  </r>
  <r>
    <s v="Boston Properties Inc."/>
    <s v="BOSTON PROPERTIES, INC. (XNYS:BXP)"/>
    <x v="30"/>
    <n v="2.9183000000000001E-2"/>
    <n v="66.900000000000006"/>
    <n v="0.38"/>
    <s v="(0.57%)"/>
    <n v="11.468299999999999"/>
    <n v="10486889430"/>
  </r>
  <r>
    <s v="Allegion Public Limited Company"/>
    <s v="ALLEGION PUBLIC LIMITED COMPANY (XNYS:ALLE)"/>
    <x v="16"/>
    <n v="2.8961000000000001E-2"/>
    <n v="104.31"/>
    <n v="-0.26"/>
    <s v="(-0.25%)"/>
    <n v="21.303000000000001"/>
    <n v="9167485415"/>
  </r>
  <r>
    <s v="Bath &amp; Body Works Inc."/>
    <s v="BATH &amp; BODY WORKS, INC. (XNYS:BBWI)"/>
    <x v="11"/>
    <n v="2.8681000000000002E-2"/>
    <n v="40.14"/>
    <n v="-0.21"/>
    <s v="(-0.51%)"/>
    <n v="10.552099999999999"/>
    <n v="9167419971"/>
  </r>
  <r>
    <s v="Huntington Ingalls Industries Inc."/>
    <s v="HUNTINGTON INGALLS INDUSTRIES, INC. (XNYS:HII)"/>
    <x v="22"/>
    <n v="2.8466000000000002E-2"/>
    <n v="229.52"/>
    <n v="-0.05"/>
    <s v="(-0.02%)"/>
    <n v="15.989000000000001"/>
    <n v="9158660500"/>
  </r>
  <r>
    <s v="Tapestry Inc."/>
    <s v="TAPESTRY, INC. (XNYS:TPR)"/>
    <x v="11"/>
    <n v="2.8208E-2"/>
    <n v="35.94"/>
    <n v="-0.01"/>
    <s v="(-0.01%)"/>
    <n v="11.418799999999999"/>
    <n v="8660149122"/>
  </r>
  <r>
    <s v="Fox Corporation Class A"/>
    <s v="FOX CORPORATION (XNAS:FOXA)"/>
    <x v="19"/>
    <n v="2.8187E-2"/>
    <n v="29.93"/>
    <n v="0.44"/>
    <s v="(1.49%)"/>
    <n v="14.811999999999999"/>
    <n v="15557230000"/>
  </r>
  <r>
    <s v="Universal Health Services Inc. Class B"/>
    <s v="UNIVERSAL HEALTH SERVICES, INC. (XNYS:UHS)"/>
    <x v="4"/>
    <n v="2.8041E-2"/>
    <n v="135.88"/>
    <n v="1.38"/>
    <s v="(1.03%)"/>
    <n v="13.8413"/>
    <n v="9604214000"/>
  </r>
  <r>
    <s v="WestRock Company"/>
    <s v="WESTROCK COMPANY (XNYS:WRK)"/>
    <x v="45"/>
    <n v="2.7564000000000002E-2"/>
    <n v="34.78"/>
    <n v="-0.02"/>
    <s v="(-0.06%)"/>
    <n v="9.5469000000000008"/>
    <n v="8853412108"/>
  </r>
  <r>
    <s v="Pinnacle West Capital Corporation"/>
    <s v="PINNACLE WEST CAPITAL CORPORATION (XNYS:PNW)"/>
    <x v="17"/>
    <n v="2.7085999999999999E-2"/>
    <n v="77.08"/>
    <n v="-0.2"/>
    <s v="(-0.26%)"/>
    <n v="17.580300000000001"/>
    <n v="8720846616"/>
  </r>
  <r>
    <s v="Rollins Inc."/>
    <s v="ROLLINS, INC. (XNYS:ROL)"/>
    <x v="27"/>
    <n v="2.6749999999999999E-2"/>
    <n v="37.11"/>
    <n v="0.17"/>
    <s v="(0.46%)"/>
    <n v="52.6083"/>
    <n v="18275650764"/>
  </r>
  <r>
    <s v="Bio-Rad Laboratories Inc. Class A"/>
    <s v="BIO-RAD LABORATORIES, INC. (XNYS:BIO)"/>
    <x v="13"/>
    <n v="2.6693000000000001E-2"/>
    <n v="401.35"/>
    <n v="-0.47"/>
    <s v="(-0.12%)"/>
    <n v="2.4802"/>
    <n v="11998340000"/>
  </r>
  <r>
    <s v="Wynn Resorts Limited"/>
    <s v="WYNN RESORTS, LIMITED (XNAS:WYNN)"/>
    <x v="15"/>
    <n v="2.6679000000000001E-2"/>
    <n v="82.61"/>
    <n v="1.05"/>
    <s v="(1.28%)"/>
    <n v="69.583200000000005"/>
    <n v="9360269928"/>
  </r>
  <r>
    <s v="Paramount Global Class B"/>
    <s v="PARAMOUNT GLOBAL (XNAS:PARA)"/>
    <x v="19"/>
    <n v="2.6636E-2"/>
    <n v="16.899999999999999"/>
    <n v="-0.02"/>
    <s v="(-0.12%)"/>
    <n v="3.5851999999999999"/>
    <n v="11100850000"/>
  </r>
  <r>
    <s v="Advance Auto Parts Inc."/>
    <s v="ADVANCE AUTO PARTS, INC. (XNYS:AAP)"/>
    <x v="11"/>
    <n v="2.6608E-2"/>
    <n v="139.36000000000001"/>
    <n v="-1.55"/>
    <s v="(-1.10%)"/>
    <n v="18.075299999999999"/>
    <n v="8261449911"/>
  </r>
  <r>
    <s v="F5 Inc."/>
    <s v="F5, INC. (XNAS:FFIV)"/>
    <x v="1"/>
    <n v="2.6284999999999999E-2"/>
    <n v="143.22999999999999"/>
    <n v="1.51"/>
    <s v="(1.06%)"/>
    <n v="26.834700000000002"/>
    <n v="8646294167"/>
  </r>
  <r>
    <s v="Comerica Incorporated"/>
    <s v="COMERICA INCORPORATED (XNYS:CMA)"/>
    <x v="9"/>
    <n v="2.6067E-2"/>
    <n v="63.62"/>
    <n v="0.1"/>
    <s v="(0.15%)"/>
    <n v="8.4137000000000004"/>
    <n v="8330536926"/>
  </r>
  <r>
    <s v="V.F. Corporation"/>
    <s v="V.F. CORPORATION (XNYS:VFC)"/>
    <x v="24"/>
    <n v="2.6053E-2"/>
    <n v="25.18"/>
    <n v="-0.87"/>
    <s v="(-3.36%)"/>
    <n v="24.206"/>
    <n v="9782306993"/>
  </r>
  <r>
    <s v="Invesco Ltd."/>
    <s v="INVESCO LTD. (XNYS:IVZ)"/>
    <x v="26"/>
    <n v="2.5668E-2"/>
    <n v="18.04"/>
    <n v="-7.0000000000000007E-2"/>
    <s v="(-0.36%)"/>
    <n v="9.0607000000000006"/>
    <n v="8202318000"/>
  </r>
  <r>
    <s v="American Airlines Group Inc."/>
    <s v="AMERICAN AIRLINES GROUP INC. (XNAS:AAL)"/>
    <x v="43"/>
    <n v="2.4930999999999998E-2"/>
    <n v="12.57"/>
    <n v="0.09"/>
    <s v="(0.68%)"/>
    <n v="3.3195999999999999"/>
    <n v="8166004808"/>
  </r>
  <r>
    <s v="Robert Half International Inc."/>
    <s v="ROBERT HALF INTERNATIONAL INC. (XNYS:RHI)"/>
    <x v="27"/>
    <n v="2.4746000000000001E-2"/>
    <n v="71.75"/>
    <n v="-0.32"/>
    <s v="(-0.44%)"/>
    <n v="11.6861"/>
    <n v="7784767375"/>
  </r>
  <r>
    <s v="Carnival Corporation"/>
    <s v="CARNIVAL PLC (XLON:CCL)"/>
    <x v="15"/>
    <n v="2.4535000000000001E-2"/>
    <n v="8.1"/>
    <n v="0.01"/>
    <s v="(0.12%)"/>
    <n v="0"/>
    <n v="8265489000"/>
  </r>
  <r>
    <s v="Catalent Inc"/>
    <s v="Catalent, Inc. (XNYS:CTLT)"/>
    <x v="5"/>
    <n v="2.4361000000000001E-2"/>
    <n v="44.52"/>
    <n v="0.64"/>
    <s v="(1.46%)"/>
    <n v="18.771599999999999"/>
    <n v="8011079654"/>
  </r>
  <r>
    <s v="Whirlpool Corporation"/>
    <s v="WHIRLPOOL CORPORATION (XNYS:WHR)"/>
    <x v="48"/>
    <n v="2.3692999999999999E-2"/>
    <n v="137.15"/>
    <n v="-2.42"/>
    <s v="(-1.73%)"/>
    <n v="23.704699999999999"/>
    <n v="7472250486"/>
  </r>
  <r>
    <s v="Federal Realty Investment Trust"/>
    <s v="FEDERAL REALTY INVESTMENT TRUST (XNYS:FRT)"/>
    <x v="30"/>
    <n v="2.3175999999999999E-2"/>
    <n v="101.05"/>
    <n v="-0.3"/>
    <s v="(-0.30%)"/>
    <n v="21.4892"/>
    <n v="8209466333"/>
  </r>
  <r>
    <s v="Sealed Air Corporation"/>
    <s v="SEEING MACHINES LIMITED (XLON:SEE)"/>
    <x v="1"/>
    <n v="2.3136E-2"/>
    <n v="49.88"/>
    <n v="-0.11"/>
    <s v="(-0.22%)"/>
    <n v="0"/>
    <n v="259375000"/>
  </r>
  <r>
    <s v="NRG Energy Inc."/>
    <s v="NEWRANGE GOLD CORP. (XTSX:NRG)"/>
    <x v="34"/>
    <n v="2.3127999999999999E-2"/>
    <n v="31.7"/>
    <n v="0.16"/>
    <s v="(0.49%)"/>
    <s v="#FIELD!"/>
    <n v="2653580"/>
  </r>
  <r>
    <s v="Pentair plc"/>
    <s v="PENTAIR PUBLIC LIMITED COMPANY (XNYS:PNR)"/>
    <x v="25"/>
    <n v="2.2440000000000002E-2"/>
    <n v="43.68"/>
    <n v="-0.15"/>
    <s v="(-0.34%)"/>
    <n v="13.590400000000001"/>
    <n v="7185290112"/>
  </r>
  <r>
    <s v="A. O. Smith Corporation"/>
    <s v="A. O. SMITH CORPORATION (XNYS:AOS)"/>
    <x v="25"/>
    <n v="2.2429000000000001E-2"/>
    <n v="56.32"/>
    <n v="0.26"/>
    <s v="(0.46%)"/>
    <n v="17.822900000000001"/>
    <n v="8604316160"/>
  </r>
  <r>
    <s v="Hasbro Inc."/>
    <s v="Hasbro, Inc. (XNAS:HAS)"/>
    <x v="47"/>
    <n v="2.2225999999999999E-2"/>
    <n v="54.96"/>
    <n v="-0.96"/>
    <s v="(-1.71%)"/>
    <n v="18.736499999999999"/>
    <n v="7590038383"/>
  </r>
  <r>
    <s v="Signature Bank"/>
    <s v="Signature Bank (XNAS:SBNY)"/>
    <x v="9"/>
    <n v="2.2166999999999999E-2"/>
    <n v="114.04"/>
    <n v="0.04"/>
    <s v="(0.03%)"/>
    <n v="5.5694999999999997"/>
    <n v="7176100532"/>
  </r>
  <r>
    <s v="Franklin Resources Inc."/>
    <s v="FRANKLIN RESOURCES, INC. (XNYS:BEN)"/>
    <x v="26"/>
    <n v="2.1911E-2"/>
    <n v="26.03"/>
    <n v="0.25"/>
    <s v="(0.95%)"/>
    <n v="10.1967"/>
    <n v="13001012565"/>
  </r>
  <r>
    <s v="Organon &amp; Co."/>
    <s v="ORGANON &amp; CO. (XNYS:OGN)"/>
    <x v="5"/>
    <n v="2.1589000000000001E-2"/>
    <n v="27.51"/>
    <n v="0.08"/>
    <s v="(0.27%)"/>
    <n v="6.9189999999999996"/>
    <n v="6997564644"/>
  </r>
  <r>
    <s v="Zions Bancorporation N.A."/>
    <s v="ZIONS BANCORPORATION, NATIONAL ASSOCIATION (XNAS:ZION)"/>
    <x v="9"/>
    <n v="2.1495E-2"/>
    <n v="46.17"/>
    <n v="0.43"/>
    <s v="(0.94%)"/>
    <n v="8.6524999999999999"/>
    <n v="6907853826"/>
  </r>
  <r>
    <s v="News Corporation Class A"/>
    <s v="NEWS CORPORATION (XNAS:NWSA)"/>
    <x v="19"/>
    <n v="2.1194999999999999E-2"/>
    <n v="17.53"/>
    <n v="0.1"/>
    <s v="(0.57%)"/>
    <n v="21.916799999999999"/>
    <n v="10085380000"/>
  </r>
  <r>
    <s v="DENTSPLY SIRONA Inc."/>
    <s v="DENTSPLY SIRONA INC. (XNAS:XRAY)"/>
    <x v="13"/>
    <n v="2.0648E-2"/>
    <n v="30.94"/>
    <n v="0.34"/>
    <s v="(1.09%)"/>
    <n v="19.718499999999999"/>
    <n v="6649374186"/>
  </r>
  <r>
    <s v="Assurant Inc."/>
    <s v="ASSURANT, INC. (XNYS:AIZ)"/>
    <x v="31"/>
    <n v="2.0410999999999999E-2"/>
    <n v="121.87"/>
    <n v="-1.08"/>
    <s v="(-0.88%)"/>
    <n v="20.617100000000001"/>
    <n v="6440151317"/>
  </r>
  <r>
    <s v="DXC Technology Co."/>
    <s v="DXC TECHNOLOGY COMPANY (XNYS:DXC)"/>
    <x v="1"/>
    <n v="1.8606999999999999E-2"/>
    <n v="26.23"/>
    <n v="0.26"/>
    <s v="(1.00%)"/>
    <n v="8.4687000000000001"/>
    <n v="6033459870"/>
  </r>
  <r>
    <s v="Generac Holdings Inc."/>
    <s v="GENERAC HOLDINGS INC. (XNYS:GNRC)"/>
    <x v="25"/>
    <n v="1.7888000000000001E-2"/>
    <n v="90.87"/>
    <n v="-0.86"/>
    <s v="(-0.94%)"/>
    <n v="13.817299999999999"/>
    <n v="5759096760"/>
  </r>
  <r>
    <s v="Norwegian Cruise Line Holdings Ltd."/>
    <s v="NORWEGIAN CRUISE LINE HOLDINGS LTD. (XNYS:NCLH)"/>
    <x v="15"/>
    <n v="1.7675E-2"/>
    <n v="13.63"/>
    <n v="-0.04"/>
    <s v="(-0.29%)"/>
    <n v="0"/>
    <n v="5743628843"/>
  </r>
  <r>
    <s v="Alaska Air Group Inc."/>
    <s v="ALASKA AIR GROUP, INC. (XNYS:ALK)"/>
    <x v="43"/>
    <n v="1.6580000000000001E-2"/>
    <n v="43.14"/>
    <n v="0.24"/>
    <s v="(0.56%)"/>
    <n v="145.2071"/>
    <n v="5473051070"/>
  </r>
  <r>
    <s v="Mohawk Industries Inc."/>
    <s v="MOHAWK INDUSTRIES, INC. (XNYS:MHK)"/>
    <x v="48"/>
    <n v="1.5278999999999999E-2"/>
    <n v="94.13"/>
    <n v="-1.3"/>
    <s v="(-1.36%)"/>
    <n v="37.170900000000003"/>
    <n v="5980140573"/>
  </r>
  <r>
    <s v="Lumen Technologies Inc."/>
    <s v="LUMEN TECHNOLOGIES, INC. (XNYS:LUMN)"/>
    <x v="21"/>
    <n v="1.5098E-2"/>
    <n v="5.28"/>
    <n v="-0.01"/>
    <s v="(-0.19%)"/>
    <n v="2.649"/>
    <n v="5467771155"/>
  </r>
  <r>
    <s v="Newell Brands Inc"/>
    <s v="NEWELL BRANDS INC. (XNAS:NWL)"/>
    <x v="48"/>
    <n v="1.5007E-2"/>
    <n v="12.65"/>
    <n v="-0.12"/>
    <s v="(-0.90%)"/>
    <n v="9.5178999999999991"/>
    <n v="5229972000"/>
  </r>
  <r>
    <s v="Lincoln National Corp"/>
    <s v="LINCOLN NATIONAL CORPORATION (XNYS:LNC)"/>
    <x v="31"/>
    <n v="1.4123E-2"/>
    <n v="29.32"/>
    <n v="0.08"/>
    <s v="(0.27%)"/>
    <n v="6.7282000000000002"/>
    <n v="4961398460"/>
  </r>
  <r>
    <s v="Ralph Lauren Corporation Class A"/>
    <s v="RALPH LAUREN CORPORATION (XNYS:RL)"/>
    <x v="24"/>
    <n v="1.3779E-2"/>
    <n v="101.51"/>
    <n v="-1.52"/>
    <s v="(-1.47%)"/>
    <n v="14.2576"/>
    <n v="6696537597"/>
  </r>
  <r>
    <s v="Fox Corporation Class B"/>
    <s v="FOX"/>
    <x v="29"/>
    <n v="1.2635E-2"/>
    <n v="28.07"/>
    <n v="0.44"/>
    <s v="(1.59%)"/>
    <s v="#FIELD!"/>
    <s v="#FIELD!"/>
  </r>
  <r>
    <s v="DaVita Inc."/>
    <s v="DAVITA INC. (XNYS:DVA)"/>
    <x v="4"/>
    <n v="1.2548999999999999E-2"/>
    <n v="70.959999999999994"/>
    <n v="-1.31"/>
    <s v="(-1.81%)"/>
    <n v="10.5794"/>
    <n v="6393495999"/>
  </r>
  <r>
    <s v="DISH Network Corporation Class A"/>
    <s v="DISH NETWORK CORPORATION (XNAS:DISH)"/>
    <x v="19"/>
    <n v="1.0681E-2"/>
    <n v="13.85"/>
    <n v="-0.03"/>
    <s v="(-0.18%)"/>
    <n v="4.6050000000000004"/>
    <n v="7347627339"/>
  </r>
  <r>
    <s v="Vornado Realty Trust"/>
    <s v="VORNADO REALTY TRUST (XNYS:VNO)"/>
    <x v="30"/>
    <n v="1.0408000000000001E-2"/>
    <n v="21.17"/>
    <n v="-0.14000000000000001"/>
    <s v="(-0.66%)"/>
    <n v="42.613199999999999"/>
    <n v="4059878867"/>
  </r>
  <r>
    <s v="News Corporation Class B"/>
    <s v="NEWS CORPORATION (XNAS:NWS)"/>
    <x v="19"/>
    <n v="6.7489999999999998E-3"/>
    <n v="17.77"/>
    <n v="7.0000000000000007E-2"/>
    <s v="(0.40%)"/>
    <n v="21.358000000000001"/>
    <n v="10085380000"/>
  </r>
  <r>
    <s v="MasterBrand Inc"/>
    <s v="Manila Broadcasting Company (XPHS:MBC)"/>
    <x v="19"/>
    <n v="3.434E-3"/>
    <n v="7.51"/>
    <n v="-0.96"/>
    <s v="(-11.33%)"/>
    <n v="16.190000000000001"/>
    <n v="2818781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4">
  <r>
    <n v="1"/>
    <x v="0"/>
    <s v="APPLE INC. (XNAS:AAPL)"/>
    <s v="Computers, Phones &amp; Household Electronics"/>
    <n v="6.1926560000000004"/>
    <n v="132.28"/>
    <n v="-0.09"/>
    <s v="(-0.07%)"/>
    <n v="21.692499999999999"/>
    <n v="2104644276000"/>
  </r>
  <r>
    <n v="2"/>
    <x v="1"/>
    <s v="MICROSOFT CORPORATION (XNAS:MSFT)"/>
    <s v="Software &amp; IT Services"/>
    <n v="5.6076709999999999"/>
    <n v="241.78"/>
    <n v="1.33"/>
    <s v="(0.55%)"/>
    <n v="25.909400000000002"/>
    <n v="1802491571400"/>
  </r>
  <r>
    <n v="3"/>
    <x v="2"/>
    <s v="AMAZON.COM, INC. (XNAS:AMZN)"/>
    <s v="Diversified Retail"/>
    <n v="2.3579829999999999"/>
    <n v="85.03"/>
    <n v="0.11"/>
    <s v="(0.13%)"/>
    <n v="78.367199999999997"/>
    <n v="866324500000"/>
  </r>
  <r>
    <n v="4"/>
    <x v="3"/>
    <s v="BERKSHIRE HATHAWAY INC., (XNYS:BRK.B)"/>
    <s v="Consumer Goods Conglomerates"/>
    <n v="1.6911929999999999"/>
    <n v="302"/>
    <n v="1.97"/>
    <s v="(0.66%)"/>
    <n v="58.405200000000001"/>
    <n v="662099900000"/>
  </r>
  <r>
    <n v="5"/>
    <x v="4"/>
    <s v="ALPHABET INC. (XNAS:GOOGL)"/>
    <s v="Software &amp; IT Services"/>
    <n v="1.6526559999999999"/>
    <n v="89.05"/>
    <n v="0.61"/>
    <s v="(0.69%)"/>
    <n v="17.565100000000001"/>
    <n v="1149000000000"/>
  </r>
  <r>
    <n v="6"/>
    <x v="5"/>
    <s v="UNITEDHEALTH GROUP INCORPORATED (XNYS:UNH)"/>
    <s v="Healthcare Providers &amp; Services"/>
    <n v="1.5305550000000001"/>
    <n v="516.99"/>
    <n v="-6.61"/>
    <s v="(-1.26%)"/>
    <n v="25.647500000000001"/>
    <n v="485908249454"/>
  </r>
  <r>
    <n v="7"/>
    <x v="6"/>
    <s v="ALPHABET INC. (XNAS:GOOG)"/>
    <s v="Software &amp; IT Services"/>
    <n v="1.4767699999999999"/>
    <n v="89.7"/>
    <n v="0.55000000000000004"/>
    <s v="(0.62%)"/>
    <n v="17.700700000000001"/>
    <n v="1149000000000"/>
  </r>
  <r>
    <n v="8"/>
    <x v="7"/>
    <s v="JOHNSON &amp; JOHNSON (XNYS:JNJ)"/>
    <s v="Pharmaceuticals"/>
    <n v="1.4369080000000001"/>
    <n v="175.33"/>
    <n v="-0.15"/>
    <s v="(-0.08%)"/>
    <n v="24.430399999999999"/>
    <n v="459234114600"/>
  </r>
  <r>
    <n v="9"/>
    <x v="8"/>
    <s v="EXXON MOBIL CORPORATION (XNYS:XOM)"/>
    <s v="Oil &amp; Gas"/>
    <n v="1.3550310000000001"/>
    <n v="106.6"/>
    <n v="1.43"/>
    <s v="(1.36%)"/>
    <n v="8.5771999999999995"/>
    <n v="439678860000"/>
  </r>
  <r>
    <n v="10"/>
    <x v="9"/>
    <s v="NVIDIA CORPORATION (XNAS:NVDA)"/>
    <s v="Semiconductors &amp; Semiconductor Equipment"/>
    <n v="1.26759"/>
    <n v="160.94999999999999"/>
    <n v="-1.59"/>
    <s v="(-0.98%)"/>
    <n v="69.135900000000007"/>
    <n v="395691000000"/>
  </r>
  <r>
    <n v="11"/>
    <x v="10"/>
    <s v="TESLA, INC. (XNAS:TSLA)"/>
    <s v="Automobiles &amp; Auto Parts"/>
    <n v="1.258499"/>
    <n v="137.94999999999999"/>
    <n v="-11.92"/>
    <s v="(-7.95%)"/>
    <n v="46.17"/>
    <n v="435138225600"/>
  </r>
  <r>
    <n v="12"/>
    <x v="11"/>
    <s v="JPMORGAN CHASE &amp; CO. (XNYS:JPM)"/>
    <s v="Banking Services"/>
    <n v="1.1935150000000001"/>
    <n v="130.5"/>
    <n v="0.44"/>
    <s v="(0.34%)"/>
    <n v="10.9816"/>
    <n v="383487221700"/>
  </r>
  <r>
    <n v="13"/>
    <x v="12"/>
    <s v="THE PROCTER &amp; GAMBLE COMPANY (XNYS:PG)"/>
    <s v="Personal &amp; Household Products &amp; Services"/>
    <n v="1.1150199999999999"/>
    <n v="150.46"/>
    <n v="0.06"/>
    <s v="(0.04%)"/>
    <n v="26.0716"/>
    <n v="356568759000"/>
  </r>
  <r>
    <n v="14"/>
    <x v="13"/>
    <s v="VISA INC. (XNYS:V)"/>
    <s v="Software &amp; IT Services"/>
    <n v="1.047695"/>
    <n v="205.33"/>
    <n v="0.51"/>
    <s v="(0.25%)"/>
    <n v="29.3019"/>
    <n v="386700358450"/>
  </r>
  <r>
    <n v="15"/>
    <x v="14"/>
    <s v="THE HOME DEPOT, INC. (XNYS:HD)"/>
    <s v="Specialty Retailers"/>
    <n v="1.0157590000000001"/>
    <n v="314.83999999999997"/>
    <n v="-2.4900000000000002"/>
    <s v="(-0.78%)"/>
    <n v="19.123200000000001"/>
    <n v="320860136520"/>
  </r>
  <r>
    <n v="16"/>
    <x v="15"/>
    <s v="CHEVRON CORPORATION (XNYS:CVX)"/>
    <s v="Oil &amp; Gas"/>
    <n v="0.945465"/>
    <n v="172.67"/>
    <n v="2.79"/>
    <s v="(1.64%)"/>
    <n v="9.6645000000000003"/>
    <n v="333900782520"/>
  </r>
  <r>
    <n v="17"/>
    <x v="16"/>
    <s v="MASTERCARD INCORPORATED. (XNYS:MA)"/>
    <s v="Software &amp; IT Services"/>
    <n v="0.90680000000000005"/>
    <n v="342.95"/>
    <n v="1.69"/>
    <s v="(0.50%)"/>
    <n v="34.091500000000003"/>
    <n v="329771096802"/>
  </r>
  <r>
    <n v="18"/>
    <x v="17"/>
    <s v="PFIZER INC. (XNYS:PFE)"/>
    <s v="Pharmaceuticals"/>
    <n v="0.90195700000000001"/>
    <n v="51.5"/>
    <n v="0.14000000000000001"/>
    <s v="(0.27%)"/>
    <n v="9.7414000000000005"/>
    <n v="288187540760"/>
  </r>
  <r>
    <n v="19"/>
    <x v="18"/>
    <s v="ABBVIE INC. (XNYS:ABBV)"/>
    <s v="Pharmaceuticals"/>
    <n v="0.89348399999999994"/>
    <n v="160.58000000000001"/>
    <n v="-0.91"/>
    <s v="(-0.56%)"/>
    <n v="21.513100000000001"/>
    <n v="283982518400"/>
  </r>
  <r>
    <n v="20"/>
    <x v="19"/>
    <s v="ELI LILLY AND COMPANY (XNYS:LLY)"/>
    <s v="Pharmaceuticals"/>
    <n v="0.88275999999999999"/>
    <n v="359.64"/>
    <n v="1.86"/>
    <s v="(0.52%)"/>
    <n v="53.769300000000001"/>
    <n v="341740983514"/>
  </r>
  <r>
    <n v="21"/>
    <x v="20"/>
    <s v="MERCK &amp; CO., INC. (XNYS:MRK)"/>
    <s v="Pharmaceuticals"/>
    <n v="0.868085"/>
    <n v="109.71"/>
    <n v="0.27"/>
    <s v="(0.25%)"/>
    <n v="18.130500000000001"/>
    <n v="278411834760"/>
  </r>
  <r>
    <n v="22"/>
    <x v="21"/>
    <s v="Meta Platforms, Inc. (XNAS:META)"/>
    <s v="Software &amp; IT Services"/>
    <n v="0.80537300000000001"/>
    <n v="117.08"/>
    <n v="2.6"/>
    <s v="(2.27%)"/>
    <n v="10.9208"/>
    <n v="310469872410"/>
  </r>
  <r>
    <n v="23"/>
    <x v="22"/>
    <s v="PEPSICO, INC. (XNAS:PEP)"/>
    <s v="Beverages"/>
    <n v="0.78161199999999997"/>
    <n v="181.3"/>
    <n v="-0.04"/>
    <s v="(-0.02%)"/>
    <n v="25.718699999999998"/>
    <n v="249682202070"/>
  </r>
  <r>
    <n v="24"/>
    <x v="23"/>
    <s v="THE COCA-COLA COMPANY (XNYS:KO)"/>
    <s v="Beverages"/>
    <n v="0.76516799999999996"/>
    <n v="62.78"/>
    <n v="-0.06"/>
    <s v="(-0.10%)"/>
    <n v="27.549299999999999"/>
    <n v="271536171270"/>
  </r>
  <r>
    <n v="25"/>
    <x v="24"/>
    <s v="BANK OF AMERICA CORPORATION (XNYS:BAC)"/>
    <s v="Banking Services"/>
    <n v="0.70005099999999998"/>
    <n v="32.19"/>
    <n v="0.13"/>
    <s v="(0.41%)"/>
    <n v="10.157"/>
    <n v="258322310400"/>
  </r>
  <r>
    <n v="26"/>
    <x v="25"/>
    <s v="Broadcom Inc. (XNAS:AVGO)"/>
    <s v="Semiconductors &amp; Semiconductor Equipment"/>
    <n v="0.69643200000000005"/>
    <n v="542.51"/>
    <n v="-7.12"/>
    <s v="(-1.30%)"/>
    <n v="20.715399999999999"/>
    <n v="227338396122"/>
  </r>
  <r>
    <n v="27"/>
    <x v="26"/>
    <s v="THERMO FISHER SCIENTIFIC INC. (XNYS:TMO)"/>
    <s v="Healthcare Equipment &amp; Supplies"/>
    <n v="0.65051999999999999"/>
    <n v="517.79"/>
    <n v="-12.38"/>
    <s v="(-2.33%)"/>
    <n v="29.798100000000002"/>
    <n v="207353813720"/>
  </r>
  <r>
    <n v="28"/>
    <x v="27"/>
    <s v="COSTCO WHOLESALE CORPORATION (XNAS:COST)"/>
    <s v="Diversified Retail"/>
    <n v="0.635077"/>
    <n v="461.12"/>
    <n v="2.4900000000000002"/>
    <s v="(0.54%)"/>
    <n v="34.665300000000002"/>
    <n v="203199286620"/>
  </r>
  <r>
    <n v="29"/>
    <x v="28"/>
    <s v="WALMART INC. (XNYS:WMT)"/>
    <s v="Food &amp; Drug Retailing"/>
    <n v="0.63055099999999997"/>
    <n v="143.88999999999999"/>
    <n v="1.0900000000000001"/>
    <s v="(0.76%)"/>
    <n v="44.125300000000003"/>
    <n v="388447072000"/>
  </r>
  <r>
    <n v="30"/>
    <x v="29"/>
    <s v="MCDONALD'S CORPORATION (XNYS:MCD)"/>
    <s v="Hotels &amp; Entertainment Services"/>
    <n v="0.60897599999999996"/>
    <n v="264"/>
    <n v="-1.83"/>
    <s v="(-0.69%)"/>
    <n v="33.485300000000002"/>
    <n v="195798881187"/>
  </r>
  <r>
    <n v="31"/>
    <x v="30"/>
    <s v="CISCO SYSTEMS, INC. (XNAS:CSCO)"/>
    <s v="Communications &amp; Networking"/>
    <n v="0.60888500000000001"/>
    <n v="47.36"/>
    <n v="-0.04"/>
    <s v="(-0.08%)"/>
    <n v="17.155100000000001"/>
    <n v="194600839110"/>
  </r>
  <r>
    <n v="32"/>
    <x v="31"/>
    <s v="ABBOTT LABORATORIES (XNYS:ABT)"/>
    <s v="Healthcare Equipment &amp; Supplies"/>
    <n v="0.58122700000000005"/>
    <n v="106.49"/>
    <n v="-0.1"/>
    <s v="(-0.09%)"/>
    <n v="23.9437"/>
    <n v="185673195260"/>
  </r>
  <r>
    <n v="33"/>
    <x v="32"/>
    <s v="DANAHER CORPORATION (XNYS:DHR)"/>
    <s v="Healthcare Equipment &amp; Supplies"/>
    <n v="0.53029800000000005"/>
    <n v="255.5"/>
    <n v="-3.22"/>
    <s v="(-1.24%)"/>
    <n v="28.5594"/>
    <n v="186089105001"/>
  </r>
  <r>
    <n v="34"/>
    <x v="33"/>
    <s v="NEXTERA ENERGY, INC. (XNYS:NEE)"/>
    <s v="Electrical Utilities &amp; IPPs"/>
    <n v="0.51923799999999998"/>
    <n v="82.66"/>
    <n v="-0.86"/>
    <s v="(-1.03%)"/>
    <n v="43.1267"/>
    <n v="165967937280"/>
  </r>
  <r>
    <n v="35"/>
    <x v="34"/>
    <s v="LINDE PUBLIC LIMITED COMPANY (XNYS:LIN)"/>
    <s v="Chemicals"/>
    <n v="0.50584600000000002"/>
    <n v="329.13"/>
    <n v="2.08"/>
    <s v="(0.64%)"/>
    <n v="43.292000000000002"/>
    <n v="162116503191"/>
  </r>
  <r>
    <n v="36"/>
    <x v="35"/>
    <s v="ACCENTURE PUBLIC LIMITED COMPANY (XNYS:ACN)"/>
    <s v="Software &amp; IT Services"/>
    <n v="0.50281699999999996"/>
    <n v="261.89999999999998"/>
    <n v="6.5"/>
    <s v="(2.55%)"/>
    <n v="23.189399999999999"/>
    <n v="172339773760"/>
  </r>
  <r>
    <n v="37"/>
    <x v="36"/>
    <s v="WELLS FARGO &amp; COMPANY (XNYS:WFC)"/>
    <s v="Banking Services"/>
    <n v="0.49854599999999999"/>
    <n v="41"/>
    <n v="-0.82"/>
    <s v="(-1.96%)"/>
    <n v="10.862299999999999"/>
    <n v="156249183455"/>
  </r>
  <r>
    <n v="38"/>
    <x v="37"/>
    <s v="THE WALT DISNEY COMPANY (XNYS:DIS)"/>
    <s v="Media &amp; Publishing"/>
    <n v="0.48924499999999999"/>
    <n v="87.02"/>
    <n v="1.24"/>
    <s v="(1.45%)"/>
    <n v="49.070999999999998"/>
    <n v="158670739920"/>
  </r>
  <r>
    <n v="39"/>
    <x v="38"/>
    <s v="Philip Morris International Inc. (XNYS:PM)"/>
    <s v="Food &amp; Tobacco"/>
    <n v="0.48794599999999999"/>
    <n v="100.92"/>
    <n v="0.31"/>
    <s v="(0.31%)"/>
    <n v="17.920500000000001"/>
    <n v="155965900000"/>
  </r>
  <r>
    <n v="40"/>
    <x v="39"/>
    <s v="VERIZON COMMUNICATIONS INC. (XNYS:VZ)"/>
    <s v="Telecommunications Services"/>
    <n v="0.48654700000000001"/>
    <n v="37.049999999999997"/>
    <n v="0.02"/>
    <s v="(0.04%)"/>
    <n v="8.0521999999999991"/>
    <n v="155372229915"/>
  </r>
  <r>
    <n v="41"/>
    <x v="40"/>
    <s v="BRISTOL-MYERS SQUIBB COMPANY (XNYS:BMY)"/>
    <s v="Pharmaceuticals"/>
    <n v="0.48642299999999999"/>
    <n v="72.650000000000006"/>
    <n v="-0.51"/>
    <s v="(-0.70%)"/>
    <n v="23.8462"/>
    <n v="154423000800"/>
  </r>
  <r>
    <n v="42"/>
    <x v="41"/>
    <s v="ADOBE INC. (XNAS:ADBE)"/>
    <s v="Software &amp; IT Services"/>
    <n v="0.47967100000000001"/>
    <n v="337.99"/>
    <n v="9.23"/>
    <s v="(2.81%)"/>
    <n v="32.5456"/>
    <n v="157238478000"/>
  </r>
  <r>
    <n v="43"/>
    <x v="42"/>
    <s v="TEXAS INSTRUMENTS INCORPORATED (XNAS:TXN)"/>
    <s v="Semiconductors &amp; Semiconductor Equipment"/>
    <n v="0.47748099999999999"/>
    <n v="166.09"/>
    <n v="-1.52"/>
    <s v="(-0.91%)"/>
    <n v="17.5532"/>
    <n v="150738583653"/>
  </r>
  <r>
    <n v="44"/>
    <x v="43"/>
    <s v="COMCAST CORPORATION (XNAS:CMCSA)"/>
    <s v="Telecommunications Services"/>
    <n v="0.45860699999999999"/>
    <n v="34.200000000000003"/>
    <n v="0.22"/>
    <s v="(0.65%)"/>
    <n v="29.546500000000002"/>
    <n v="148768503690"/>
  </r>
  <r>
    <n v="45"/>
    <x v="44"/>
    <s v="RAYTHEON TECHNOLOGIES CORPORATION (XNYS:RTX)"/>
    <s v="Aerospace &amp; Defense"/>
    <n v="0.44901400000000002"/>
    <n v="98.11"/>
    <n v="0.56999999999999995"/>
    <s v="(0.58%)"/>
    <n v="32.527200000000001"/>
    <n v="144330588980"/>
  </r>
  <r>
    <n v="46"/>
    <x v="45"/>
    <s v="AMGEN INC. (XNAS:AMGN)"/>
    <s v="Pharmaceuticals"/>
    <n v="0.44312299999999999"/>
    <n v="264.75"/>
    <n v="-0.95"/>
    <s v="(-0.36%)"/>
    <n v="21.287400000000002"/>
    <n v="141265093200"/>
  </r>
  <r>
    <n v="47"/>
    <x v="46"/>
    <s v="HONEYWELL INTERNATIONAL INC. (XNAS:HON)"/>
    <s v="Consumer Goods Conglomerates"/>
    <n v="0.43982599999999999"/>
    <n v="211.49"/>
    <n v="2.08"/>
    <s v="(0.99%)"/>
    <n v="26.786100000000001"/>
    <n v="142189422078"/>
  </r>
  <r>
    <n v="48"/>
    <x v="47"/>
    <s v="CONOCOPHILLIPS (XNYS:COP)"/>
    <s v="Oil &amp; Gas"/>
    <n v="0.430537"/>
    <n v="112.65"/>
    <n v="2.21"/>
    <s v="(2.00%)"/>
    <n v="7.9276999999999997"/>
    <n v="140394819570"/>
  </r>
  <r>
    <n v="49"/>
    <x v="48"/>
    <s v="UNITED PARCEL SERVICE, INC. (XNYS:UPS)"/>
    <s v="Freight &amp; Logistics Services"/>
    <n v="0.40660600000000002"/>
    <n v="172.3"/>
    <n v="-6.13"/>
    <s v="(-3.44%)"/>
    <n v="13.966900000000001"/>
    <n v="154327300000"/>
  </r>
  <r>
    <n v="50"/>
    <x v="49"/>
    <s v="NIKE, INC. (XNYS:NKE)"/>
    <s v="Textiles &amp; Apparel"/>
    <n v="0.40596100000000002"/>
    <n v="102.67"/>
    <n v="-0.38"/>
    <s v="(-0.37%)"/>
    <n v="29.2334"/>
    <n v="161434499380"/>
  </r>
  <r>
    <n v="51"/>
    <x v="50"/>
    <s v="SALESFORCE, INC. (XNYS:CRM)"/>
    <s v="Software &amp; IT Services"/>
    <n v="0.403613"/>
    <n v="128.5"/>
    <n v="-0.51"/>
    <s v="(-0.40%)"/>
    <n v="464.95119999999997"/>
    <n v="128544999999"/>
  </r>
  <r>
    <n v="52"/>
    <x v="51"/>
    <s v="NETFLIX, INC. (XNAS:NFLX)"/>
    <s v="Software &amp; IT Services"/>
    <n v="0.40138800000000002"/>
    <n v="288.23"/>
    <n v="-7.0000000000000007E-2"/>
    <s v="(-0.02%)"/>
    <n v="27.1828"/>
    <n v="128250457895"/>
  </r>
  <r>
    <n v="53"/>
    <x v="52"/>
    <s v="AT&amp;T INC. (XNYS:T)"/>
    <s v="Telecommunications Services"/>
    <n v="0.39822600000000002"/>
    <n v="18.059999999999999"/>
    <n v="0.2"/>
    <s v="(1.12%)"/>
    <n v="6.5728999999999997"/>
    <n v="128749255000"/>
  </r>
  <r>
    <n v="54"/>
    <x v="53"/>
    <s v="UNION PACIFIC CORPORATION (XNYS:UNP)"/>
    <s v="Freight &amp; Logistics Services"/>
    <n v="0.396976"/>
    <n v="205.19"/>
    <n v="-1.2"/>
    <s v="(-0.58%)"/>
    <n v="18.403400000000001"/>
    <n v="126323120376"/>
  </r>
  <r>
    <n v="55"/>
    <x v="54"/>
    <s v="LOWE'S COMPANIES, INC. (XNYS:LOW)"/>
    <s v="Specialty Retailers"/>
    <n v="0.394536"/>
    <n v="200.56"/>
    <n v="-2.61"/>
    <s v="(-1.28%)"/>
    <n v="19.921900000000001"/>
    <n v="121448470184"/>
  </r>
  <r>
    <n v="56"/>
    <x v="55"/>
    <s v="QUALCOMM INCORPORATED (XNAS:QCOM)"/>
    <s v="Semiconductors &amp; Semiconductor Equipment"/>
    <n v="0.39426499999999998"/>
    <n v="112.08"/>
    <n v="-0.53"/>
    <s v="(-0.47%)"/>
    <n v="9.8575999999999997"/>
    <n v="125664100000"/>
  </r>
  <r>
    <n v="57"/>
    <x v="56"/>
    <s v="INTERNATIONAL BUSINESS MACHINES CORPORATION (XNYS:IBM)"/>
    <s v="Software &amp; IT Services"/>
    <n v="0.39280799999999999"/>
    <n v="141.26"/>
    <n v="2.39"/>
    <s v="(1.72%)"/>
    <n v="85.744500000000002"/>
    <n v="128078531658"/>
  </r>
  <r>
    <n v="58"/>
    <x v="57"/>
    <s v="CVS HEALTH CORPORATION (XNYS:CVS)"/>
    <s v="Healthcare Providers &amp; Services"/>
    <n v="0.39073000000000002"/>
    <n v="95"/>
    <n v="-0.05"/>
    <s v="(-0.05%)"/>
    <n v="40.391300000000001"/>
    <n v="124774306319"/>
  </r>
  <r>
    <n v="59"/>
    <x v="58"/>
    <s v="ORACLE CORPORATION (XNYS:ORCL)"/>
    <s v="Software &amp; IT Services"/>
    <n v="0.387042"/>
    <n v="80.94"/>
    <n v="0.44"/>
    <s v="(0.55%)"/>
    <n v="25.142499999999998"/>
    <n v="218288642879"/>
  </r>
  <r>
    <n v="60"/>
    <x v="59"/>
    <s v="CATERPILLAR INC. (XNYS:CAT)"/>
    <s v="Machinery, Equipment &amp; Components"/>
    <n v="0.378193"/>
    <n v="236"/>
    <n v="3.71"/>
    <s v="(1.60%)"/>
    <n v="16.9663"/>
    <n v="122348249940"/>
  </r>
  <r>
    <n v="61"/>
    <x v="60"/>
    <s v="ELEVANCE HEALTH, INC. (XNYS:ELV)"/>
    <s v="Healthcare Providers &amp; Services"/>
    <n v="0.376359"/>
    <n v="504.65"/>
    <n v="1.76"/>
    <s v="(0.35%)"/>
    <n v="19.7315"/>
    <n v="120531513168"/>
  </r>
  <r>
    <n v="62"/>
    <x v="61"/>
    <s v="THE CHARLES SCHWAB CORPORATION (XNYS:SCHW)"/>
    <s v="Investment Banking &amp; Investment Services"/>
    <n v="0.37254199999999998"/>
    <n v="78.099999999999994"/>
    <n v="-0.16"/>
    <s v="(-0.20%)"/>
    <n v="23.763500000000001"/>
    <n v="148517754840"/>
  </r>
  <r>
    <n v="63"/>
    <x v="62"/>
    <s v="DEERE &amp; COMPANY (XNYS:DE)"/>
    <s v="Machinery, Equipment &amp; Components"/>
    <n v="0.37179200000000001"/>
    <n v="442.53"/>
    <n v="9.86"/>
    <s v="(2.28%)"/>
    <n v="18.549199999999999"/>
    <n v="129846555674"/>
  </r>
  <r>
    <n v="64"/>
    <x v="63"/>
    <s v="THE GOLDMAN SACHS GROUP, INC. (XNYS:GS)"/>
    <s v="Investment Banking &amp; Investment Services"/>
    <n v="0.36657699999999999"/>
    <n v="343.44"/>
    <n v="-1.17"/>
    <s v="(-0.34%)"/>
    <n v="9.1798000000000002"/>
    <n v="116659619700"/>
  </r>
  <r>
    <n v="65"/>
    <x v="64"/>
    <s v="STARBUCKS CORPORATION (XNAS:SBUX)"/>
    <s v="Hotels &amp; Entertainment Services"/>
    <n v="0.35302"/>
    <n v="98"/>
    <n v="-0.3"/>
    <s v="(-0.31%)"/>
    <n v="34.695799999999998"/>
    <n v="112828700000"/>
  </r>
  <r>
    <n v="66"/>
    <x v="65"/>
    <s v="MORGAN STANLEY (XNYS:MS)"/>
    <s v="Investment Banking &amp; Investment Services"/>
    <n v="0.35283599999999998"/>
    <n v="85.16"/>
    <n v="-0.39"/>
    <s v="(-0.46%)"/>
    <n v="12.4183"/>
    <n v="144588900000"/>
  </r>
  <r>
    <n v="67"/>
    <x v="66"/>
    <s v="LOCKHEED MARTIN CORPORATION (XNYS:LMT)"/>
    <s v="Aerospace &amp; Defense"/>
    <n v="0.351574"/>
    <n v="486.15"/>
    <n v="4.3600000000000003"/>
    <s v="(0.90%)"/>
    <n v="22.122299999999999"/>
    <n v="127501621740"/>
  </r>
  <r>
    <n v="68"/>
    <x v="67"/>
    <s v="S&amp;P Global Inc. (XNYS:SPGI)"/>
    <s v="Professional &amp; Commercial Services"/>
    <n v="0.34968900000000003"/>
    <n v="332.11"/>
    <n v="-3.55"/>
    <s v="(-1.06%)"/>
    <n v="28.065200000000001"/>
    <n v="108172116000"/>
  </r>
  <r>
    <n v="69"/>
    <x v="68"/>
    <s v="INTEL CORPORATION (XNAS:INTC)"/>
    <s v="Semiconductors &amp; Semiconductor Equipment"/>
    <n v="0.34589799999999998"/>
    <n v="26.44"/>
    <n v="-0.35"/>
    <s v="(-1.31%)"/>
    <n v="8.2690999999999999"/>
    <n v="109117880000"/>
  </r>
  <r>
    <n v="70"/>
    <x v="69"/>
    <s v="GILEAD SCIENCES, INC. (XNAS:GILD)"/>
    <s v="Pharmaceuticals"/>
    <n v="0.33910899999999999"/>
    <n v="84.34"/>
    <n v="-2.08"/>
    <s v="(-2.41%)"/>
    <n v="32.680300000000003"/>
    <n v="106322263880"/>
  </r>
  <r>
    <n v="71"/>
    <x v="70"/>
    <s v="INTUIT INC. (XNAS:INTU)"/>
    <s v="Financial Technology (Fintech) &amp; Infrastructure"/>
    <n v="0.338204"/>
    <n v="377.83"/>
    <n v="-5.69"/>
    <s v="(-1.48%)"/>
    <n v="58.426600000000001"/>
    <n v="108740603832"/>
  </r>
  <r>
    <n v="72"/>
    <x v="71"/>
    <s v="BLACKROCK, INC. (XNYS:BLK)"/>
    <s v="Investment Banking &amp; Investment Services"/>
    <n v="0.32545600000000002"/>
    <n v="691.56"/>
    <n v="-0.91"/>
    <s v="(-0.13%)"/>
    <n v="19.077400000000001"/>
    <n v="104005900000"/>
  </r>
  <r>
    <n v="73"/>
    <x v="72"/>
    <s v="THE BOEING COMPANY (XNYS:BA)"/>
    <s v="Aerospace &amp; Defense"/>
    <n v="0.32544000000000001"/>
    <n v="188.28"/>
    <n v="2.6"/>
    <s v="(1.40%)"/>
    <n v="0"/>
    <n v="110662200000"/>
  </r>
  <r>
    <n v="74"/>
    <x v="73"/>
    <s v="AMD"/>
    <s v="#FIELD!"/>
    <n v="0.32527400000000001"/>
    <n v="65.06"/>
    <n v="0.47"/>
    <s v="(0.73%)"/>
    <s v="#FIELD!"/>
    <s v="#FIELD!"/>
  </r>
  <r>
    <n v="75"/>
    <x v="74"/>
    <s v="PROLOGIS, INC. (XNYS:PLD)"/>
    <s v="Residential &amp; Commercial REIT"/>
    <n v="0.32364399999999999"/>
    <n v="110"/>
    <n v="-2.0699999999999998"/>
    <s v="(-1.85%)"/>
    <n v="20.758500000000002"/>
    <n v="103606342064"/>
  </r>
  <r>
    <n v="76"/>
    <x v="75"/>
    <s v="MEDTRONIC PUBLIC LIMITED COMPANY (XNYS:MDT)"/>
    <s v="Healthcare Equipment &amp; Supplies"/>
    <n v="0.32068799999999997"/>
    <n v="76.61"/>
    <n v="-0.51"/>
    <s v="(-0.66%)"/>
    <n v="23.736000000000001"/>
    <n v="102583500000"/>
  </r>
  <r>
    <n v="77"/>
    <x v="76"/>
    <s v="AUTOMATIC DATA PROCESSING, INC. (XNAS:ADP)"/>
    <s v="Software &amp; IT Services"/>
    <n v="0.31738499999999997"/>
    <n v="240.03"/>
    <n v="-5.03"/>
    <s v="(-2.05%)"/>
    <n v="33.948"/>
    <n v="101180648698"/>
  </r>
  <r>
    <n v="78"/>
    <x v="77"/>
    <s v="CIGNA CORPORATION (XNYS:CI)"/>
    <s v="Healthcare Providers &amp; Services"/>
    <n v="0.31639800000000001"/>
    <n v="320.79000000000002"/>
    <n v="-9.99"/>
    <s v="(-3.02%)"/>
    <n v="15.8026"/>
    <n v="101132400000"/>
  </r>
  <r>
    <n v="79"/>
    <x v="78"/>
    <s v="AMERICAN TOWER CORPORATION (XNYS:AMT)"/>
    <s v="Residential &amp; Commercial REIT"/>
    <n v="0.30534600000000001"/>
    <n v="208.69"/>
    <n v="-0.93"/>
    <s v="(-0.44%)"/>
    <n v="33.270600000000002"/>
    <n v="97232417448"/>
  </r>
  <r>
    <n v="80"/>
    <x v="79"/>
    <s v="INTUITIVE SURGICAL, INC. (XNAS:ISRG)"/>
    <s v="Healthcare Equipment &amp; Supplies"/>
    <n v="0.29029700000000003"/>
    <n v="263"/>
    <n v="1.99"/>
    <s v="(0.76%)"/>
    <n v="69.121399999999994"/>
    <n v="92516088280"/>
  </r>
  <r>
    <n v="81"/>
    <x v="80"/>
    <s v="THE TJX COMPANIES, INC. (XNYS:TJX)"/>
    <s v="Diversified Retail"/>
    <n v="0.285049"/>
    <n v="77.59"/>
    <n v="-0.5"/>
    <s v="(-0.64%)"/>
    <n v="27.227699999999999"/>
    <n v="89644000320"/>
  </r>
  <r>
    <n v="82"/>
    <x v="81"/>
    <s v="Mondelez International, Inc. (XNAS:MDLZ)"/>
    <s v="Food &amp; Tobacco"/>
    <n v="0.28074399999999999"/>
    <n v="65.849999999999994"/>
    <n v="0.15"/>
    <s v="(0.23%)"/>
    <n v="29.2255"/>
    <n v="89721130000"/>
  </r>
  <r>
    <n v="83"/>
    <x v="82"/>
    <s v="APPLIED MATERIALS, INC. (XNAS:AMAT)"/>
    <s v="Semiconductors &amp; Semiconductor Equipment"/>
    <n v="0.27989000000000003"/>
    <n v="103.5"/>
    <n v="-0.49"/>
    <s v="(-0.47%)"/>
    <n v="13.9818"/>
    <n v="87368458950"/>
  </r>
  <r>
    <n v="84"/>
    <x v="83"/>
    <s v="Chubb Ltd (XNYS:CB)"/>
    <s v="Insurance"/>
    <n v="0.27599099999999999"/>
    <n v="214.49"/>
    <n v="2.5299999999999998"/>
    <s v="(1.19%)"/>
    <n v="14.791700000000001"/>
    <n v="89165255949"/>
  </r>
  <r>
    <n v="85"/>
    <x v="84"/>
    <s v="AMERICAN EXPRESS COMPANY (XNYS:AXP)"/>
    <s v="Banking Services"/>
    <n v="0.271171"/>
    <n v="145.69999999999999"/>
    <n v="0.69"/>
    <s v="(0.48%)"/>
    <n v="14.5694"/>
    <n v="108868068226"/>
  </r>
  <r>
    <n v="86"/>
    <x v="85"/>
    <s v="ANALOG DEVICES, INC. (XNAS:ADI)"/>
    <s v="Semiconductors &amp; Semiconductor Equipment"/>
    <n v="0.26769199999999999"/>
    <n v="164.33"/>
    <n v="-0.81"/>
    <s v="(-0.49%)"/>
    <n v="31.331299999999999"/>
    <n v="83692595247"/>
  </r>
  <r>
    <n v="87"/>
    <x v="86"/>
    <s v="CITIGROUP INC. (XNYS:C)"/>
    <s v="Investment Banking &amp; Investment Services"/>
    <n v="0.26619300000000001"/>
    <n v="43.81"/>
    <n v="-0.12"/>
    <s v="(-0.27%)"/>
    <n v="5.9219999999999997"/>
    <n v="84834161400"/>
  </r>
  <r>
    <n v="88"/>
    <x v="87"/>
    <s v="GENERAL ELECTRIC COMPANY (XNYS:GE)"/>
    <s v="Consumer Goods Conglomerates"/>
    <n v="0.26601799999999998"/>
    <n v="80.33"/>
    <n v="2.27"/>
    <s v="(2.91%)"/>
    <n v="0"/>
    <n v="87784947120"/>
  </r>
  <r>
    <n v="89"/>
    <x v="88"/>
    <s v="T-MOBILE US, INC. (XNAS:TMUS)"/>
    <s v="Telecommunications Services"/>
    <n v="0.265795"/>
    <n v="140.34"/>
    <n v="-1.28"/>
    <s v="(-0.90%)"/>
    <n v="115.96129999999999"/>
    <n v="174604572360"/>
  </r>
  <r>
    <n v="90"/>
    <x v="89"/>
    <s v="Altria Group, Inc. (XNYS:MO)"/>
    <s v="Food &amp; Tobacco"/>
    <n v="0.26040600000000003"/>
    <n v="46.48"/>
    <n v="0.1"/>
    <s v="(0.22%)"/>
    <n v="18.018799999999999"/>
    <n v="83210592390"/>
  </r>
  <r>
    <n v="91"/>
    <x v="90"/>
    <s v="MARSH &amp; MCLENNAN COMPANIES, INC. (XNYS:MMC)"/>
    <s v="Insurance"/>
    <n v="0.25469399999999998"/>
    <n v="164.85"/>
    <n v="1.1200000000000001"/>
    <s v="(0.68%)"/>
    <n v="24.562000000000001"/>
    <n v="81767166075"/>
  </r>
  <r>
    <n v="92"/>
    <x v="91"/>
    <s v="STRYKER CORPORATION (XNYS:SYK)"/>
    <s v="Healthcare Equipment &amp; Supplies"/>
    <n v="0.25089299999999998"/>
    <n v="235"/>
    <n v="-4.03"/>
    <s v="(-1.69%)"/>
    <n v="37.178600000000003"/>
    <n v="90259752000"/>
  </r>
  <r>
    <n v="93"/>
    <x v="92"/>
    <s v="PAYPAL HOLDINGS, INC. (XNAS:PYPL)"/>
    <s v="Software &amp; IT Services"/>
    <n v="0.245919"/>
    <n v="68.760000000000005"/>
    <n v="-0.19"/>
    <s v="(-0.28%)"/>
    <n v="35.063400000000001"/>
    <n v="78388325280"/>
  </r>
  <r>
    <n v="94"/>
    <x v="93"/>
    <s v="DUKE ENERGY CORPORATION (XNYS:DUK)"/>
    <s v="Electrical Utilities &amp; IPPs"/>
    <n v="0.24147199999999999"/>
    <n v="100.21"/>
    <n v="-0.02"/>
    <s v="(-0.02%)"/>
    <n v="20.253599999999999"/>
    <n v="77191085048"/>
  </r>
  <r>
    <n v="95"/>
    <x v="94"/>
    <s v="NORTHROP GRUMMAN CORPORATION (XNYS:NOC)"/>
    <s v="Aerospace &amp; Defense"/>
    <n v="0.24118500000000001"/>
    <n v="529.55999999999995"/>
    <n v="-2.96"/>
    <s v="(-0.56%)"/>
    <n v="15.1351"/>
    <n v="81567309512"/>
  </r>
  <r>
    <n v="96"/>
    <x v="95"/>
    <s v="REGENERON PHARMACEUTICALS, INC. (XNAS:REGN)"/>
    <s v="Biotechnology &amp; Medical Research"/>
    <n v="0.240866"/>
    <n v="723.84"/>
    <n v="2.74"/>
    <s v="(0.38%)"/>
    <n v="15.211600000000001"/>
    <n v="78529190000"/>
  </r>
  <r>
    <n v="97"/>
    <x v="96"/>
    <s v="SERVICENOW, INC. (XNYS:NOW)"/>
    <s v="Software &amp; IT Services"/>
    <n v="0.240788"/>
    <n v="386.47"/>
    <n v="4.17"/>
    <s v="(1.09%)"/>
    <n v="386.42309999999998"/>
    <n v="78010380000"/>
  </r>
  <r>
    <n v="98"/>
    <x v="97"/>
    <s v="THE SOUTHERN COMPANY (XNYS:SO)"/>
    <s v="Electrical Utilities &amp; IPPs"/>
    <n v="0.234704"/>
    <n v="69.47"/>
    <n v="0.56000000000000005"/>
    <s v="(0.81%)"/>
    <n v="21.883800000000001"/>
    <n v="75635556675"/>
  </r>
  <r>
    <n v="99"/>
    <x v="98"/>
    <s v="BOOKING HOLDINGS INC. (XNAS:BKNG)"/>
    <s v="Hotels &amp; Entertainment Services"/>
    <n v="0.23438400000000001"/>
    <n v="1958.51"/>
    <n v="27.07"/>
    <s v="(1.40%)"/>
    <n v="31.713899999999999"/>
    <n v="75969408208"/>
  </r>
  <r>
    <n v="100"/>
    <x v="99"/>
    <s v="VERTEX PHARMACEUTICALS INCORPORATED (XNAS:VRTX)"/>
    <s v="Biotechnology &amp; Medical Research"/>
    <n v="0.23416799999999999"/>
    <n v="287"/>
    <n v="-4.59"/>
    <s v="(-1.57%)"/>
    <n v="23.013100000000001"/>
    <n v="75269619222"/>
  </r>
  <r>
    <n v="101"/>
    <x v="100"/>
    <s v="THE PROGRESSIVE CORPORATION (XNYS:PGR)"/>
    <s v="Insurance"/>
    <n v="0.23259199999999999"/>
    <n v="126.45"/>
    <n v="-0.62"/>
    <s v="(-0.49%)"/>
    <n v="89.962299999999999"/>
    <n v="74382750000"/>
  </r>
  <r>
    <n v="102"/>
    <x v="101"/>
    <s v="EOG RESOURCES, INC. (XNYS:EOG)"/>
    <s v="Oil &amp; Gas"/>
    <n v="0.230682"/>
    <n v="125"/>
    <n v="-0.53"/>
    <s v="(-0.42%)"/>
    <n v="9.8589000000000002"/>
    <n v="74275402275"/>
  </r>
  <r>
    <n v="103"/>
    <x v="102"/>
    <s v="Schlumberger N.V. (XNYS:SLB)"/>
    <s v="Oil &amp; Gas Related Equipment and Services"/>
    <n v="0.22105900000000001"/>
    <n v="51.3"/>
    <n v="1.47"/>
    <s v="(2.95%)"/>
    <n v="24.065999999999999"/>
    <n v="73452400000"/>
  </r>
  <r>
    <n v="104"/>
    <x v="103"/>
    <s v="BECTON, DICKINSON AND COMPANY (XNYS:BDX)"/>
    <s v="Healthcare Equipment &amp; Supplies"/>
    <n v="0.220915"/>
    <n v="245.79"/>
    <n v="-2.67"/>
    <s v="(-1.07%)"/>
    <n v="41.490699999999997"/>
    <n v="70651254456"/>
  </r>
  <r>
    <n v="105"/>
    <x v="104"/>
    <s v="AIR PRODUCTS AND CHEMICALS, INC. (XNYS:APD)"/>
    <s v="Chemicals"/>
    <n v="0.217691"/>
    <n v="312.54000000000002"/>
    <n v="-1.18"/>
    <s v="(-0.38%)"/>
    <n v="31.116800000000001"/>
    <n v="69419993544"/>
  </r>
  <r>
    <n v="106"/>
    <x v="105"/>
    <s v="3M COMPANY (XNYS:MMM)"/>
    <s v="Consumer Goods Conglomerates"/>
    <n v="0.21119599999999999"/>
    <n v="120.87"/>
    <n v="-1.26"/>
    <s v="(-1.03%)"/>
    <n v="10.643599999999999"/>
    <n v="66776869749"/>
  </r>
  <r>
    <n v="107"/>
    <x v="106"/>
    <s v="TARGET CORPORATION (XNYS:TGT)"/>
    <s v="Diversified Retail"/>
    <n v="0.20912800000000001"/>
    <n v="143.44"/>
    <n v="-1.21"/>
    <s v="(-0.84%)"/>
    <n v="19.801300000000001"/>
    <n v="65930215622"/>
  </r>
  <r>
    <n v="108"/>
    <x v="107"/>
    <s v="ZOETIS INC. (XNYS:ZTS)"/>
    <s v="Pharmaceuticals"/>
    <n v="0.20876700000000001"/>
    <n v="143.16999999999999"/>
    <n v="-0.02"/>
    <s v="(-0.01%)"/>
    <n v="32.727699999999999"/>
    <n v="66373313520"/>
  </r>
  <r>
    <n v="109"/>
    <x v="108"/>
    <s v="BOSTON SCIENTIFIC CORPORATION (XNYS:BSX)"/>
    <s v="Healthcare Equipment &amp; Supplies"/>
    <n v="0.205232"/>
    <n v="45.8"/>
    <n v="0"/>
    <s v="(0.00%)"/>
    <n v="110.3455"/>
    <n v="65685782460"/>
  </r>
  <r>
    <n v="110"/>
    <x v="109"/>
    <s v="CSX Corporation (XNAS:CSX)"/>
    <s v="Freight &amp; Logistics Services"/>
    <n v="0.20508499999999999"/>
    <n v="30.73"/>
    <n v="-0.45"/>
    <s v="(-1.44%)"/>
    <n v="16.581800000000001"/>
    <n v="64607028570"/>
  </r>
  <r>
    <n v="111"/>
    <x v="110"/>
    <s v="COLGATE-PALMOLIVE COMPANY (XNYS:CL)"/>
    <s v="Personal &amp; Household Products &amp; Services"/>
    <n v="0.203124"/>
    <n v="77.69"/>
    <n v="-0.28999999999999998"/>
    <s v="(-0.37%)"/>
    <n v="34.009900000000002"/>
    <n v="64887791198"/>
  </r>
  <r>
    <n v="112"/>
    <x v="111"/>
    <s v="HUMANA INC. (XNYS:HUM)"/>
    <s v="Healthcare Providers &amp; Services"/>
    <n v="0.199961"/>
    <n v="490"/>
    <n v="-14.84"/>
    <s v="(-2.94%)"/>
    <n v="22.898800000000001"/>
    <n v="63452070360"/>
  </r>
  <r>
    <n v="113"/>
    <x v="112"/>
    <s v="FISERV, INC. (XNAS:FISV)"/>
    <s v="Professional &amp; Commercial Services"/>
    <n v="0.19675699999999999"/>
    <n v="99.56"/>
    <n v="0.89"/>
    <s v="(0.90%)"/>
    <n v="30.9894"/>
    <n v="63223397636"/>
  </r>
  <r>
    <n v="114"/>
    <x v="113"/>
    <s v="MODERNA, INC. (XNAS:MRNA)"/>
    <s v="Biotechnology &amp; Medical Research"/>
    <n v="0.19627900000000001"/>
    <n v="201.75"/>
    <n v="11.86"/>
    <s v="(6.25%)"/>
    <n v="6.8666"/>
    <n v="77281749380"/>
  </r>
  <r>
    <n v="115"/>
    <x v="114"/>
    <s v="Aon plc (XNYS:AON)"/>
    <s v="Insurance"/>
    <n v="0.192243"/>
    <n v="297.81"/>
    <n v="0.75"/>
    <s v="(0.25%)"/>
    <n v="23.064299999999999"/>
    <n v="61615273323"/>
  </r>
  <r>
    <n v="116"/>
    <x v="115"/>
    <s v="CME GROUP INC. (XNAS:CME)"/>
    <s v="Investment Banking &amp; Investment Services"/>
    <n v="0.19208500000000001"/>
    <n v="169.19"/>
    <n v="-1.49"/>
    <s v="(-0.87%)"/>
    <n v="23.296500000000002"/>
    <n v="60861872750"/>
  </r>
  <r>
    <n v="117"/>
    <x v="116"/>
    <s v="EATON CORPORATION PUBLIC LIMITED COMPANY (XNYS:ETN)"/>
    <s v="Machinery, Equipment &amp; Components"/>
    <n v="0.19185099999999999"/>
    <n v="152.97"/>
    <n v="-1.53"/>
    <s v="(-0.99%)"/>
    <n v="27.044799999999999"/>
    <n v="62005407000"/>
  </r>
  <r>
    <n v="118"/>
    <x v="117"/>
    <s v="ILLINOIS TOOL WORKS INC. (XNYS:ITW)"/>
    <s v="Consumer Goods Conglomerates"/>
    <n v="0.19084300000000001"/>
    <n v="218.09"/>
    <n v="0.8"/>
    <s v="(0.37%)"/>
    <n v="24.802399999999999"/>
    <n v="66985066384"/>
  </r>
  <r>
    <n v="119"/>
    <x v="118"/>
    <s v="EQUINIX, INC. (XNAS:EQIX)"/>
    <s v="Residential &amp; Commercial REIT"/>
    <n v="0.19054399999999999"/>
    <n v="652.15"/>
    <n v="-6.04"/>
    <s v="(-0.92%)"/>
    <n v="86.140299999999996"/>
    <n v="60348734958"/>
  </r>
  <r>
    <n v="120"/>
    <x v="119"/>
    <s v="THE PNC FINANCIAL SERVICES GROUP, INC. (XNYS:PNC)"/>
    <s v="Banking Services"/>
    <n v="0.189471"/>
    <n v="151.68"/>
    <n v="1.52"/>
    <s v="(1.01%)"/>
    <n v="11.760999999999999"/>
    <n v="61175425920"/>
  </r>
  <r>
    <n v="121"/>
    <x v="120"/>
    <s v="LAM RESEARCH CORPORATION (XNAS:LRCX)"/>
    <s v="Semiconductors &amp; Semiconductor Equipment"/>
    <n v="0.18732299999999999"/>
    <n v="437"/>
    <n v="-1.69"/>
    <s v="(-0.39%)"/>
    <n v="12.5806"/>
    <n v="59646850648"/>
  </r>
  <r>
    <n v="122"/>
    <x v="121"/>
    <s v="WASTE MANAGEMENT, INC. (XNYS:WM)"/>
    <s v="Professional &amp; Commercial Services"/>
    <n v="0.184812"/>
    <n v="157.69"/>
    <n v="0.1"/>
    <s v="(0.06%)"/>
    <n v="29.2788"/>
    <n v="64773286380"/>
  </r>
  <r>
    <n v="123"/>
    <x v="122"/>
    <s v="CROWN CASTLE INC. (XNYS:CCI)"/>
    <s v="Residential &amp; Commercial REIT"/>
    <n v="0.18047099999999999"/>
    <n v="131.28"/>
    <n v="-1.93"/>
    <s v="(-1.45%)"/>
    <n v="35.819699999999997"/>
    <n v="57959144320"/>
  </r>
  <r>
    <n v="124"/>
    <x v="123"/>
    <s v="NORFOLK SOUTHERN CORPORATION (XNYS:NSC)"/>
    <s v="Freight &amp; Logistics Services"/>
    <n v="0.178898"/>
    <n v="242.92"/>
    <n v="-4.08"/>
    <s v="(-1.65%)"/>
    <n v="18.1769"/>
    <n v="56234799180"/>
  </r>
  <r>
    <n v="125"/>
    <x v="124"/>
    <s v="U.S. BANCORP (XNYS:USB)"/>
    <s v="Banking Services"/>
    <n v="0.17683399999999999"/>
    <n v="41.93"/>
    <n v="-0.02"/>
    <s v="(-0.05%)"/>
    <n v="9.9960000000000004"/>
    <n v="64132442219"/>
  </r>
  <r>
    <n v="126"/>
    <x v="125"/>
    <s v="MICRON TECHNOLOGY, INC. (XNAS:MU)"/>
    <s v="Semiconductors &amp; Semiconductor Equipment"/>
    <n v="0.17591200000000001"/>
    <n v="50.69"/>
    <n v="-1.03"/>
    <s v="(-1.99%)"/>
    <n v="6.6875999999999998"/>
    <n v="55286457240"/>
  </r>
  <r>
    <n v="127"/>
    <x v="126"/>
    <s v="THE SHERWIN-WILLIAMS COMPANY (XNYS:SHW)"/>
    <s v="Chemicals"/>
    <n v="0.17510300000000001"/>
    <n v="238.58"/>
    <n v="0.47"/>
    <s v="(0.20%)"/>
    <n v="32.213000000000001"/>
    <n v="61839389542"/>
  </r>
  <r>
    <n v="128"/>
    <x v="127"/>
    <s v="EMERSON ELECTRIC CO. (XNYS:EMR)"/>
    <s v="Machinery, Equipment &amp; Components"/>
    <n v="0.174593"/>
    <n v="95.04"/>
    <n v="0.46"/>
    <s v="(0.49%)"/>
    <n v="17.458200000000001"/>
    <n v="56230312000"/>
  </r>
  <r>
    <n v="129"/>
    <x v="128"/>
    <s v="INTERCONTINENTAL EXCHANGE, INC. (XNYS:ICE)"/>
    <s v="Investment Banking &amp; Investment Services"/>
    <n v="0.17441499999999999"/>
    <n v="100.39"/>
    <n v="0.11"/>
    <s v="(0.11%)"/>
    <n v="22.203900000000001"/>
    <n v="56067409608"/>
  </r>
  <r>
    <n v="130"/>
    <x v="129"/>
    <s v="DOLLAR GENERAL CORPORATION (XNYS:DG)"/>
    <s v="Diversified Retail"/>
    <n v="0.17136199999999999"/>
    <n v="242"/>
    <n v="-0.44"/>
    <s v="(-0.18%)"/>
    <n v="23.5639"/>
    <n v="53865876564"/>
  </r>
  <r>
    <n v="131"/>
    <x v="130"/>
    <s v="GENERAL DYNAMICS CORPORATION (XNYS:GD)"/>
    <s v="Aerospace &amp; Defense"/>
    <n v="0.171262"/>
    <n v="246.62"/>
    <n v="2.3199999999999998"/>
    <s v="(0.95%)"/>
    <n v="20.3445"/>
    <n v="67706528890"/>
  </r>
  <r>
    <n v="132"/>
    <x v="131"/>
    <s v="Truist Financial Corporation (XNYS:TFC)"/>
    <s v="Banking Services"/>
    <n v="0.170682"/>
    <n v="41.12"/>
    <n v="0"/>
    <s v="(0.00%)"/>
    <n v="9.4303000000000008"/>
    <n v="54530082600"/>
  </r>
  <r>
    <n v="133"/>
    <x v="132"/>
    <s v="THE ESTEE LAUDER COMPANIES INC. (XNYS:EL)"/>
    <s v="Personal &amp; Household Products &amp; Services"/>
    <n v="0.17019500000000001"/>
    <n v="238"/>
    <n v="1.76"/>
    <s v="(0.75%)"/>
    <n v="39.367400000000004"/>
    <n v="84789306849"/>
  </r>
  <r>
    <n v="134"/>
    <x v="133"/>
    <s v="KLA Corporation (XNAS:KLAC)"/>
    <s v="Semiconductors &amp; Semiconductor Equipment"/>
    <n v="0.16961399999999999"/>
    <n v="375"/>
    <n v="-8.66"/>
    <s v="(-2.26%)"/>
    <n v="17.3309"/>
    <n v="54690509153"/>
  </r>
  <r>
    <n v="135"/>
    <x v="134"/>
    <s v="ACTIVISION BLIZZARD, INC. (XNAS:ATVI)"/>
    <s v="Software &amp; IT Services"/>
    <n v="0.168658"/>
    <n v="75.69"/>
    <n v="-0.3"/>
    <s v="(-0.39%)"/>
    <n v="35.6997"/>
    <n v="59385607764"/>
  </r>
  <r>
    <n v="136"/>
    <x v="135"/>
    <s v="MCKESSON CORPORATION (XNYS:MCK)"/>
    <s v="Pharmaceuticals"/>
    <n v="0.168321"/>
    <n v="375.17"/>
    <n v="-0.37"/>
    <s v="(-0.10%)"/>
    <n v="26.5306"/>
    <n v="53346560000"/>
  </r>
  <r>
    <n v="137"/>
    <x v="136"/>
    <s v="FREEPORT-MCMORAN INC. (XNYS:FCX)"/>
    <s v="Metals &amp; Mining"/>
    <n v="0.16656199999999999"/>
    <n v="37.159999999999997"/>
    <n v="-0.2"/>
    <s v="(-0.53%)"/>
    <n v="14.1495"/>
    <n v="54021413965"/>
  </r>
  <r>
    <n v="138"/>
    <x v="137"/>
    <s v="MARATHON PETROLEUM CORPORATION (XNYS:MPC)"/>
    <s v="Oil &amp; Gas"/>
    <n v="0.162852"/>
    <n v="113.01"/>
    <n v="1.94"/>
    <s v="(1.75%)"/>
    <n v="4.875"/>
    <n v="53019596304"/>
  </r>
  <r>
    <n v="139"/>
    <x v="138"/>
    <s v="PIONEER NATURAL RESOURCES COMPANY (XNYS:PXD)"/>
    <s v="Oil &amp; Gas"/>
    <n v="0.162245"/>
    <n v="219.28"/>
    <n v="1.21"/>
    <s v="(0.56%)"/>
    <n v="7.7803000000000004"/>
    <n v="52174298533"/>
  </r>
  <r>
    <n v="140"/>
    <x v="139"/>
    <s v="GENERAL MILLS, INC. (XNYS:GIS)"/>
    <s v="Food &amp; Tobacco"/>
    <n v="0.16183700000000001"/>
    <n v="83.39"/>
    <n v="-3.73"/>
    <s v="(-4.28%)"/>
    <n v="18.3231"/>
    <n v="49346549784"/>
  </r>
  <r>
    <n v="141"/>
    <x v="140"/>
    <s v="HCA HEALTHCARE, INC. (XNYS:HCA)"/>
    <s v="Healthcare Providers &amp; Services"/>
    <n v="0.16022"/>
    <n v="238.36"/>
    <n v="-0.31"/>
    <s v="(-0.13%)"/>
    <n v="13.4773"/>
    <n v="67416624282"/>
  </r>
  <r>
    <n v="142"/>
    <x v="141"/>
    <s v="O'Reilly Automotive, Inc. (XNAS:ORLY)"/>
    <s v="Specialty Retailers"/>
    <n v="0.15984200000000001"/>
    <n v="815"/>
    <n v="-1.43"/>
    <s v="(-0.18%)"/>
    <n v="24.920999999999999"/>
    <n v="51539396753"/>
  </r>
  <r>
    <n v="143"/>
    <x v="142"/>
    <s v="ARCHER-DANIELS-MIDLAND COMPANY (XNYS:ADM)"/>
    <s v="Food &amp; Tobacco"/>
    <n v="0.15922900000000001"/>
    <n v="92.7"/>
    <n v="0.05"/>
    <s v="(0.06%)"/>
    <n v="12.7889"/>
    <n v="51077093916"/>
  </r>
  <r>
    <n v="144"/>
    <x v="143"/>
    <s v="GENERAL MOTORS COMPANY (XNYS:GM)"/>
    <s v="Automobiles &amp; Auto Parts"/>
    <n v="0.15743099999999999"/>
    <n v="35.24"/>
    <n v="-0.18"/>
    <s v="(-0.51%)"/>
    <n v="6.0118999999999998"/>
    <n v="50015637885"/>
  </r>
  <r>
    <n v="145"/>
    <x v="144"/>
    <s v="SEMPRA ENERGY (XNYS:SRE)"/>
    <s v="Multiline Utilities"/>
    <n v="0.154671"/>
    <n v="156.53"/>
    <n v="-0.75"/>
    <s v="(-0.48%)"/>
    <n v="22.075900000000001"/>
    <n v="49183747098"/>
  </r>
  <r>
    <n v="146"/>
    <x v="145"/>
    <s v="SYNOPSYS, INC. (XNAS:SNPS)"/>
    <s v="Software &amp; IT Services"/>
    <n v="0.153863"/>
    <n v="317.8"/>
    <n v="-5.59"/>
    <s v="(-1.73%)"/>
    <n v="51.388399999999997"/>
    <n v="49448712196"/>
  </r>
  <r>
    <n v="147"/>
    <x v="146"/>
    <s v="Dominion Energy, Inc. (XNYS:D)"/>
    <s v="Electrical Utilities &amp; IPPs"/>
    <n v="0.153784"/>
    <n v="59.58"/>
    <n v="0.33"/>
    <s v="(0.55%)"/>
    <n v="28.017499999999998"/>
    <n v="49642370040"/>
  </r>
  <r>
    <n v="148"/>
    <x v="147"/>
    <s v="AMERICAN ELECTRIC POWER COMPANY, INC. (XNAS:AEP)"/>
    <s v="Electrical Utilities &amp; IPPs"/>
    <n v="0.151118"/>
    <n v="93.67"/>
    <n v="-0.33"/>
    <s v="(-0.35%)"/>
    <n v="19.493200000000002"/>
    <n v="48133612779"/>
  </r>
  <r>
    <n v="149"/>
    <x v="148"/>
    <s v="PHILLIPS 66 (XNYS:PSX)"/>
    <s v="Oil &amp; Gas"/>
    <n v="0.15046399999999999"/>
    <n v="102.64"/>
    <n v="2.0299999999999998"/>
    <s v="(2.02%)"/>
    <n v="4.6044"/>
    <n v="48539326940"/>
  </r>
  <r>
    <n v="150"/>
    <x v="149"/>
    <s v="METLIFE, INC. (XNYS:MET)"/>
    <s v="Insurance"/>
    <n v="0.14865400000000001"/>
    <n v="72.33"/>
    <n v="1.17"/>
    <s v="(1.64%)"/>
    <n v="26.7363"/>
    <n v="56326879098"/>
  </r>
  <r>
    <n v="151"/>
    <x v="150"/>
    <s v="CENTENE CORPORATION (XNYS:CNC)"/>
    <s v="Healthcare Providers &amp; Services"/>
    <n v="0.14510300000000001"/>
    <n v="80.38"/>
    <n v="-1.04"/>
    <s v="(-1.28%)"/>
    <n v="23.763500000000001"/>
    <n v="45464991313"/>
  </r>
  <r>
    <n v="152"/>
    <x v="151"/>
    <s v="VALERO ENERGY CORPORATION (XNYS:VLO)"/>
    <s v="Oil &amp; Gas"/>
    <n v="0.14438500000000001"/>
    <n v="121.88"/>
    <n v="2.17"/>
    <s v="(1.81%)"/>
    <n v="5.1040000000000001"/>
    <n v="46991435037"/>
  </r>
  <r>
    <n v="153"/>
    <x v="152"/>
    <s v="FORD MOTOR COMPANY (XNYS:F)"/>
    <s v="Automobiles &amp; Auto Parts"/>
    <n v="0.14393500000000001"/>
    <n v="11.49"/>
    <n v="-0.2"/>
    <s v="(-1.71%)"/>
    <n v="5.2949000000000002"/>
    <n v="46135168650"/>
  </r>
  <r>
    <n v="154"/>
    <x v="153"/>
    <s v="AMERICAN INTERNATIONAL GROUP, INC. (XNYS:AIG)"/>
    <s v="Insurance"/>
    <n v="0.14288300000000001"/>
    <n v="62.72"/>
    <n v="1.25"/>
    <s v="(2.04%)"/>
    <n v="3.6473"/>
    <n v="46655429100"/>
  </r>
  <r>
    <n v="155"/>
    <x v="154"/>
    <s v="KIMBERLY-CLARK CORPORATION (XNYS:KMB)"/>
    <s v="Personal &amp; Household Products &amp; Services"/>
    <n v="0.142792"/>
    <n v="135.26"/>
    <n v="-0.4"/>
    <s v="(-0.29%)"/>
    <n v="25.748799999999999"/>
    <n v="45696430340"/>
  </r>
  <r>
    <n v="156"/>
    <x v="155"/>
    <s v="EDWARDS LIFESCIENCES CORPORATION (XNYS:EW)"/>
    <s v="Healthcare Equipment &amp; Supplies"/>
    <n v="0.14210900000000001"/>
    <n v="73.42"/>
    <n v="-0.01"/>
    <s v="(-0.01%)"/>
    <n v="31.6126"/>
    <n v="45392685910"/>
  </r>
  <r>
    <n v="157"/>
    <x v="156"/>
    <s v="OCCIDENTAL PETROLEUM CORPORATION (XNYS:OXY)"/>
    <s v="Oil &amp; Gas"/>
    <n v="0.14197399999999999"/>
    <n v="62.33"/>
    <n v="-0.08"/>
    <s v="(-0.13%)"/>
    <n v="5.1662999999999997"/>
    <n v="56670794135"/>
  </r>
  <r>
    <n v="158"/>
    <x v="157"/>
    <s v="AMPHENOL CORPORATION (XNYS:APH)"/>
    <s v="Electronic Equipment &amp; Parts"/>
    <n v="0.141401"/>
    <n v="74.739999999999995"/>
    <n v="-1.21"/>
    <s v="(-1.59%)"/>
    <n v="25.595199999999998"/>
    <n v="45361078262"/>
  </r>
  <r>
    <n v="159"/>
    <x v="158"/>
    <s v="AUTOZONE, INC. (XNYS:AZO)"/>
    <s v="Specialty Retailers"/>
    <n v="0.14128499999999999"/>
    <n v="2355.0100000000002"/>
    <n v="-24.16"/>
    <s v="(-1.02%)"/>
    <n v="20.002400000000002"/>
    <n v="44861296140"/>
  </r>
  <r>
    <n v="160"/>
    <x v="159"/>
    <s v="ROPER TECHNOLOGIES, INC. (XNYS:ROP)"/>
    <s v="Software &amp; IT Services"/>
    <n v="0.140461"/>
    <n v="424.11"/>
    <n v="0.76"/>
    <s v="(0.18%)"/>
    <n v="48.192100000000003"/>
    <n v="44897140000"/>
  </r>
  <r>
    <n v="161"/>
    <x v="160"/>
    <s v="PUBLIC STORAGE (XNYS:PSA)"/>
    <s v="Residential &amp; Commercial REIT"/>
    <n v="0.140123"/>
    <n v="277.18"/>
    <n v="-7.25"/>
    <s v="(-2.55%)"/>
    <n v="11.5608"/>
    <n v="49549349024"/>
  </r>
  <r>
    <n v="162"/>
    <x v="161"/>
    <s v="CADENCE DESIGN SYSTEMS, INC. (XNAS:CDNS)"/>
    <s v="Software &amp; IT Services"/>
    <n v="0.13752300000000001"/>
    <n v="160.78"/>
    <n v="-0.17"/>
    <s v="(-0.11%)"/>
    <n v="56.648400000000002"/>
    <n v="44537945760"/>
  </r>
  <r>
    <n v="163"/>
    <x v="162"/>
    <s v="DEXCOM, INC. (XNAS:DXCM)"/>
    <s v="Healthcare Equipment &amp; Supplies"/>
    <n v="0.13694200000000001"/>
    <n v="113.35"/>
    <n v="1.1200000000000001"/>
    <s v="(1.00%)"/>
    <n v="209.62970000000001"/>
    <n v="43705104015"/>
  </r>
  <r>
    <n v="164"/>
    <x v="163"/>
    <s v="MOODY'S CORPORATION (XNYS:MCO)"/>
    <s v="Professional &amp; Commercial Services"/>
    <n v="0.136904"/>
    <n v="274.5"/>
    <n v="-3.82"/>
    <s v="(-1.37%)"/>
    <n v="33.259"/>
    <n v="50416640000"/>
  </r>
  <r>
    <n v="165"/>
    <x v="164"/>
    <s v="AGILENT TECHNOLOGIES, INC. (XNYS:A)"/>
    <s v="Healthcare Equipment &amp; Supplies"/>
    <n v="0.136683"/>
    <n v="147.93"/>
    <n v="0.98"/>
    <s v="(0.67%)"/>
    <n v="35.159500000000001"/>
    <n v="43630500000"/>
  </r>
  <r>
    <n v="166"/>
    <x v="165"/>
    <s v="JOHNSON CONTROLS INTERNATIONAL PLC (XNYS:JCI)"/>
    <s v="Machinery, Equipment &amp; Components"/>
    <n v="0.13627500000000001"/>
    <n v="63.25"/>
    <n v="-0.21"/>
    <s v="(-0.33%)"/>
    <n v="28.830300000000001"/>
    <n v="43447755753"/>
  </r>
  <r>
    <n v="167"/>
    <x v="166"/>
    <s v="The Travelers Companies, Inc. (XNYS:TRV)"/>
    <s v="Insurance"/>
    <n v="0.13581699999999999"/>
    <n v="185.8"/>
    <n v="2.29"/>
    <s v="(1.25%)"/>
    <n v="13.4077"/>
    <n v="43546452450"/>
  </r>
  <r>
    <n v="168"/>
    <x v="167"/>
    <s v="MOTOROLA SOLUTIONS, INC. (XNYS:MSI)"/>
    <s v="Communications &amp; Networking"/>
    <n v="0.13231999999999999"/>
    <n v="255.47"/>
    <n v="0.88"/>
    <s v="(0.35%)"/>
    <n v="37.410299999999999"/>
    <n v="42793987008"/>
  </r>
  <r>
    <n v="169"/>
    <x v="168"/>
    <s v="NXP Semiconductors NV (XNAS:NXPI)"/>
    <s v="Semiconductors &amp; Semiconductor Equipment"/>
    <n v="0.13109599999999999"/>
    <n v="159.51"/>
    <n v="-0.76"/>
    <s v="(-0.47%)"/>
    <n v="15.9695"/>
    <n v="41334607899"/>
  </r>
  <r>
    <n v="170"/>
    <x v="169"/>
    <s v="CORTEVA, INC. (XNYS:CTVA)"/>
    <s v="Food &amp; Tobacco"/>
    <n v="0.13048399999999999"/>
    <n v="58.89"/>
    <n v="0.59"/>
    <s v="(1.01%)"/>
    <n v="30.4254"/>
    <n v="42076433880"/>
  </r>
  <r>
    <n v="171"/>
    <x v="170"/>
    <s v="EXELON CORPORATION (XNAS:EXC)"/>
    <s v="Electrical Utilities &amp; IPPs"/>
    <n v="0.12914300000000001"/>
    <n v="42.06"/>
    <n v="0.28999999999999998"/>
    <s v="(0.69%)"/>
    <n v="20.4344"/>
    <n v="41796788520"/>
  </r>
  <r>
    <n v="172"/>
    <x v="171"/>
    <s v="ENPHASE ENERGY, INC. (XNAS:ENPH)"/>
    <s v="Renewable Energy"/>
    <n v="0.12878899999999999"/>
    <n v="302"/>
    <n v="-3.01"/>
    <s v="(-0.99%)"/>
    <n v="148.7679"/>
    <n v="41058441852"/>
  </r>
  <r>
    <n v="173"/>
    <x v="172"/>
    <s v="BIOGEN INC. (XNAS:BIIB)"/>
    <s v="Pharmaceuticals"/>
    <n v="0.128499"/>
    <n v="283.05"/>
    <n v="-1.33"/>
    <s v="(-0.47%)"/>
    <n v="14.488799999999999"/>
    <n v="41401842514"/>
  </r>
  <r>
    <n v="174"/>
    <x v="173"/>
    <s v="AUTODESK, INC. (XNAS:ADSK)"/>
    <s v="Software &amp; IT Services"/>
    <n v="0.127555"/>
    <n v="186.5"/>
    <n v="-2.04"/>
    <s v="(-1.08%)"/>
    <n v="66.497100000000003"/>
    <n v="40547028600"/>
  </r>
  <r>
    <n v="175"/>
    <x v="174"/>
    <s v="MARRIOTT INTERNATIONAL, INC. (XNAS:MAR)"/>
    <s v="Hotels &amp; Entertainment Services"/>
    <n v="0.127418"/>
    <n v="150.41"/>
    <n v="-0.96"/>
    <s v="(-0.63%)"/>
    <n v="23.099399999999999"/>
    <n v="47610721236"/>
  </r>
  <r>
    <n v="176"/>
    <x v="175"/>
    <s v="FEDEX CORPORATION (XNYS:FDX)"/>
    <s v="Freight &amp; Logistics Services"/>
    <n v="0.126416"/>
    <n v="161.66999999999999"/>
    <n v="-7.11"/>
    <s v="(-4.21%)"/>
    <n v="12.4078"/>
    <n v="42764521932"/>
  </r>
  <r>
    <n v="177"/>
    <x v="176"/>
    <s v="ROSS STORES, INC. (XNAS:ROST)"/>
    <s v="Specialty Retailers"/>
    <n v="0.12523999999999999"/>
    <n v="114.01"/>
    <n v="-0.91"/>
    <s v="(-0.79%)"/>
    <n v="27.893699999999999"/>
    <n v="39378823850"/>
  </r>
  <r>
    <n v="178"/>
    <x v="177"/>
    <s v="FIDELITY NATIONAL INFORMATION SERVICES, INC. (XNYS:FIS)"/>
    <s v="Financial Technology (Fintech) &amp; Infrastructure"/>
    <n v="0.12503"/>
    <n v="67.69"/>
    <n v="0.34"/>
    <s v="(0.50%)"/>
    <n v="43.957000000000001"/>
    <n v="40153990765"/>
  </r>
  <r>
    <n v="179"/>
    <x v="178"/>
    <s v="REALTY INCOME CORPORATION (XNYS:O)"/>
    <s v="Residential &amp; Commercial REIT"/>
    <n v="0.124671"/>
    <n v="63.07"/>
    <n v="-0.47"/>
    <s v="(-0.74%)"/>
    <n v="59.413699999999999"/>
    <n v="39592225707"/>
  </r>
  <r>
    <n v="180"/>
    <x v="179"/>
    <s v="SYSCO CORPORATION (XNYS:SYY)"/>
    <s v="Food &amp; Drug Retailing"/>
    <n v="0.123755"/>
    <n v="78.28"/>
    <n v="0.37"/>
    <s v="(0.47%)"/>
    <n v="27.597799999999999"/>
    <n v="39674827575"/>
  </r>
  <r>
    <n v="181"/>
    <x v="180"/>
    <s v="AFLAC INCORPORATED (XNYS:AFL)"/>
    <s v="Insurance"/>
    <n v="0.123573"/>
    <n v="69.19"/>
    <n v="0.27"/>
    <s v="(0.39%)"/>
    <n v="8.7988999999999997"/>
    <n v="44041286538"/>
  </r>
  <r>
    <n v="182"/>
    <x v="181"/>
    <s v="MICROCHIP TECHNOLOGY INCORPORATED (XNAS:MCHP)"/>
    <s v="Semiconductors &amp; Semiconductor Equipment"/>
    <n v="0.12271899999999999"/>
    <n v="71.16"/>
    <n v="-0.32"/>
    <s v="(-0.45%)"/>
    <n v="21.805"/>
    <n v="39171619614"/>
  </r>
  <r>
    <n v="183"/>
    <x v="182"/>
    <s v="L3HARRIS TECHNOLOGIES, INC. (XNYS:LHX)"/>
    <s v="Aerospace &amp; Defense"/>
    <n v="0.12251099999999999"/>
    <n v="205.6"/>
    <n v="0.05"/>
    <s v="(0.02%)"/>
    <n v="35.756300000000003"/>
    <n v="39108735120"/>
  </r>
  <r>
    <n v="184"/>
    <x v="183"/>
    <s v="CHIPOTLE MEXICAN GRILL, INC. (XNYS:CMG)"/>
    <s v="Hotels &amp; Entertainment Services"/>
    <n v="0.122364"/>
    <n v="1428.38"/>
    <n v="13.4"/>
    <s v="(0.95%)"/>
    <n v="49.250300000000003"/>
    <n v="39575765480"/>
  </r>
  <r>
    <n v="185"/>
    <x v="184"/>
    <s v="Trane Technologies plc (XNYS:TT)"/>
    <s v="Machinery, Equipment &amp; Components"/>
    <n v="0.122156"/>
    <n v="168.75"/>
    <n v="-0.06"/>
    <s v="(-0.04%)"/>
    <n v="24.037600000000001"/>
    <n v="38889690678"/>
  </r>
  <r>
    <n v="186"/>
    <x v="185"/>
    <s v="THE WILLIAMS COMPANIES, INC. (XNYS:WMB)"/>
    <s v="Oil &amp; Gas Related Equipment and Services"/>
    <n v="0.121832"/>
    <n v="32.1"/>
    <n v="0.03"/>
    <s v="(0.10%)"/>
    <n v="19.597799999999999"/>
    <n v="39414480000"/>
  </r>
  <r>
    <n v="187"/>
    <x v="186"/>
    <s v="ARTHUR J. GALLAGHER &amp; CO. (XNYS:AJG)"/>
    <s v="Insurance"/>
    <n v="0.121393"/>
    <n v="186.89"/>
    <n v="1.8"/>
    <s v="(0.97%)"/>
    <n v="36.398600000000002"/>
    <n v="39408104400"/>
  </r>
  <r>
    <n v="188"/>
    <x v="187"/>
    <s v="DEVON ENERGY CORPORATION (XNYS:DVN)"/>
    <s v="Oil &amp; Gas"/>
    <n v="0.120977"/>
    <n v="59.36"/>
    <n v="0.1"/>
    <s v="(0.17%)"/>
    <n v="6.2150999999999996"/>
    <n v="38790558000"/>
  </r>
  <r>
    <n v="189"/>
    <x v="188"/>
    <s v="MONSTER BEVERAGE CORPORATION (XNAS:MNST)"/>
    <s v="Beverages"/>
    <n v="0.120425"/>
    <n v="101.16"/>
    <n v="0.74"/>
    <s v="(0.74%)"/>
    <n v="44.344200000000001"/>
    <n v="52779582576"/>
  </r>
  <r>
    <n v="190"/>
    <x v="189"/>
    <s v="CINTAS CORPORATION (XNAS:CTAS)"/>
    <s v="Professional &amp; Commercial Services"/>
    <n v="0.118931"/>
    <n v="443.43"/>
    <n v="-0.08"/>
    <s v="(-0.02%)"/>
    <n v="37.179000000000002"/>
    <n v="45080020482"/>
  </r>
  <r>
    <n v="191"/>
    <x v="190"/>
    <s v="Xcel Energy Inc. (XNAS:XEL)"/>
    <s v="Electrical Utilities &amp; IPPs"/>
    <n v="0.11881799999999999"/>
    <n v="69.489999999999995"/>
    <n v="0.09"/>
    <s v="(0.13%)"/>
    <n v="22.661999999999999"/>
    <n v="38028298265"/>
  </r>
  <r>
    <n v="192"/>
    <x v="191"/>
    <s v="SIMON PROPERTY GROUP, INC. (XNYS:SPG)"/>
    <s v="Residential &amp; Commercial REIT"/>
    <n v="0.11736199999999999"/>
    <n v="115.12"/>
    <n v="-0.5"/>
    <s v="(-0.43%)"/>
    <n v="19.299700000000001"/>
    <n v="39668222112"/>
  </r>
  <r>
    <n v="193"/>
    <x v="192"/>
    <s v="CONSTELLATION BRANDS, INC. (XNYS:STZ)"/>
    <s v="Beverages"/>
    <n v="0.116953"/>
    <n v="225"/>
    <n v="-5.29"/>
    <s v="(-2.30%)"/>
    <n v="710.74969999999996"/>
    <n v="42464004140"/>
  </r>
  <r>
    <n v="194"/>
    <x v="193"/>
    <s v="MSCI INC. (XNYS:MSCI)"/>
    <s v="Professional &amp; Commercial Services"/>
    <n v="0.116352"/>
    <n v="458"/>
    <n v="-3.94"/>
    <s v="(-0.85%)"/>
    <n v="44.571199999999997"/>
    <n v="36600852317"/>
  </r>
  <r>
    <n v="195"/>
    <x v="194"/>
    <s v="IQVIA HOLDINGS INC (XNYS:IQV)"/>
    <s v="Biotechnology &amp; Medical Research"/>
    <n v="0.11618000000000001"/>
    <n v="201.24"/>
    <n v="1.4"/>
    <s v="(0.70%)"/>
    <n v="32.520600000000002"/>
    <n v="37378317600"/>
  </r>
  <r>
    <n v="196"/>
    <x v="195"/>
    <s v="PAYCHEX, INC. (XNAS:PAYX)"/>
    <s v="Professional &amp; Commercial Services"/>
    <n v="0.115923"/>
    <n v="111.34"/>
    <n v="-4.18"/>
    <s v="(-3.62%)"/>
    <n v="29.153500000000001"/>
    <n v="41179304000"/>
  </r>
  <r>
    <n v="197"/>
    <x v="196"/>
    <s v="TE Connectivity Ltd (XNYS:TEL)"/>
    <s v="Machinery, Equipment &amp; Components"/>
    <n v="0.115203"/>
    <n v="114.85"/>
    <n v="-0.69"/>
    <s v="(-0.60%)"/>
    <n v="15.4664"/>
    <n v="36443451328"/>
  </r>
  <r>
    <n v="198"/>
    <x v="197"/>
    <s v="HESS CORPORATION (XNYS:HES)"/>
    <s v="Oil &amp; Gas"/>
    <n v="0.11508599999999999"/>
    <n v="135.82"/>
    <n v="2.19"/>
    <s v="(1.64%)"/>
    <n v="22.230399999999999"/>
    <n v="41960786850"/>
  </r>
  <r>
    <n v="199"/>
    <x v="198"/>
    <s v="YUM! BRANDS, INC. (XNYS:YUM)"/>
    <s v="Hotels &amp; Entertainment Services"/>
    <n v="0.113847"/>
    <n v="126.78"/>
    <n v="-1.6"/>
    <s v="(-1.25%)"/>
    <n v="29.2455"/>
    <n v="36219430182"/>
  </r>
  <r>
    <n v="200"/>
    <x v="199"/>
    <s v="PARKER-HANNIFIN CORPORATION (XNYS:PH)"/>
    <s v="Machinery, Equipment &amp; Components"/>
    <n v="0.11269"/>
    <n v="280.64"/>
    <n v="-2.06"/>
    <s v="(-0.73%)"/>
    <n v="29.407299999999999"/>
    <n v="36811988104"/>
  </r>
  <r>
    <n v="201"/>
    <x v="200"/>
    <s v="NEWMONT CORPORATION (XNYS:NEM)"/>
    <s v="Metals &amp; Mining"/>
    <n v="0.11255900000000001"/>
    <n v="47.69"/>
    <n v="2.09"/>
    <s v="(4.58%)"/>
    <n v="37.426400000000001"/>
    <n v="37797836894"/>
  </r>
  <r>
    <n v="202"/>
    <x v="201"/>
    <s v="PRUDENTIAL FINANCIAL, INC. (XNYS:PRU)"/>
    <s v="Insurance"/>
    <n v="0.112521"/>
    <n v="98.25"/>
    <n v="1.1299999999999999"/>
    <s v="(1.16%)"/>
    <n v="134.43520000000001"/>
    <n v="36148640000"/>
  </r>
  <r>
    <n v="203"/>
    <x v="202"/>
    <s v="HILTON WORLDWIDE HOLDINGS INC. (XNYS:HLT)"/>
    <s v="Hotels &amp; Entertainment Services"/>
    <n v="0.110966"/>
    <n v="129.52000000000001"/>
    <n v="-0.38"/>
    <s v="(-0.29%)"/>
    <n v="33.747599999999998"/>
    <n v="35029461120"/>
  </r>
  <r>
    <n v="204"/>
    <x v="203"/>
    <s v="Dow Inc. (XNYS:DOW)"/>
    <s v="Chemicals"/>
    <n v="0.110457"/>
    <n v="49.65"/>
    <n v="0.32"/>
    <s v="(0.65%)"/>
    <n v="6.3936999999999999"/>
    <n v="34948686838"/>
  </r>
  <r>
    <n v="205"/>
    <x v="204"/>
    <s v="THE ALLSTATE CORPORATION (XNYS:ALL)"/>
    <s v="Insurance"/>
    <n v="0.11039"/>
    <n v="131.97"/>
    <n v="0.98"/>
    <s v="(0.75%)"/>
    <n v="44.216799999999999"/>
    <n v="35479740288"/>
  </r>
  <r>
    <n v="206"/>
    <x v="205"/>
    <s v="CARRIER GLOBAL CORPORATION (XNYS:CARR)"/>
    <s v="Machinery, Equipment &amp; Components"/>
    <n v="0.108902"/>
    <n v="41.37"/>
    <n v="-0.13"/>
    <s v="(-0.31%)"/>
    <n v="10.0283"/>
    <n v="34587775640"/>
  </r>
  <r>
    <n v="207"/>
    <x v="206"/>
    <s v="ECOLAB INC. (XNYS:ECL)"/>
    <s v="Chemicals"/>
    <n v="0.10854999999999999"/>
    <n v="142.84"/>
    <n v="1.63"/>
    <s v="(1.15%)"/>
    <n v="35.9786"/>
    <n v="40681997523"/>
  </r>
  <r>
    <n v="208"/>
    <x v="207"/>
    <s v="KINDER MORGAN, INC. (XNYS:KMI)"/>
    <s v="Oil &amp; Gas Related Equipment and Services"/>
    <n v="0.10823000000000001"/>
    <n v="17.61"/>
    <n v="0.1"/>
    <s v="(0.57%)"/>
    <n v="15.8492"/>
    <n v="39560259200"/>
  </r>
  <r>
    <n v="209"/>
    <x v="208"/>
    <s v="PACCAR INC (XNAS:PCAR)"/>
    <s v="Machinery, Equipment &amp; Components"/>
    <n v="0.107832"/>
    <n v="97.19"/>
    <n v="-1.92"/>
    <s v="(-1.94%)"/>
    <n v="13.285399999999999"/>
    <n v="34571577116"/>
  </r>
  <r>
    <n v="210"/>
    <x v="209"/>
    <s v="NUCOR CORPORATION (XNYS:NUE)"/>
    <s v="Metals &amp; Mining"/>
    <n v="0.10756499999999999"/>
    <n v="132"/>
    <n v="0.24"/>
    <s v="(0.18%)"/>
    <n v="4.1242999999999999"/>
    <n v="34340939682"/>
  </r>
  <r>
    <n v="211"/>
    <x v="210"/>
    <s v="THE HERSHEY COMPANY (XNYS:HSY)"/>
    <s v="Food &amp; Tobacco"/>
    <n v="0.107555"/>
    <n v="231.66"/>
    <n v="-3.23"/>
    <s v="(-1.37%)"/>
    <n v="30.674700000000001"/>
    <n v="47909346186"/>
  </r>
  <r>
    <n v="212"/>
    <x v="211"/>
    <s v="DuPont de Nemours, Inc. (XNYS:DD)"/>
    <s v="Chemicals"/>
    <n v="0.10551099999999999"/>
    <n v="67.510000000000005"/>
    <n v="-0.05"/>
    <s v="(-0.07%)"/>
    <n v="29.519300000000001"/>
    <n v="33543186527"/>
  </r>
  <r>
    <n v="213"/>
    <x v="212"/>
    <s v="CONSOLIDATED EDISON, INC. (XNYS:ED)"/>
    <s v="Electrical Utilities &amp; IPPs"/>
    <n v="0.10530200000000001"/>
    <n v="94.59"/>
    <n v="-0.26"/>
    <s v="(-0.27%)"/>
    <n v="19.902200000000001"/>
    <n v="33559384452"/>
  </r>
  <r>
    <n v="214"/>
    <x v="213"/>
    <s v="CAPITAL ONE FINANCIAL CORPORATION (XNYS:COF)"/>
    <s v="Banking Services"/>
    <n v="0.105153"/>
    <n v="87.9"/>
    <n v="0.03"/>
    <s v="(0.04%)"/>
    <n v="4.3494999999999999"/>
    <n v="33715437338"/>
  </r>
  <r>
    <n v="215"/>
    <x v="214"/>
    <s v="IDEXX LABORATORIES, INC. (XNAS:IDXX)"/>
    <s v="Healthcare Equipment &amp; Supplies"/>
    <n v="0.10439900000000001"/>
    <n v="393.53"/>
    <n v="-8.64"/>
    <s v="(-2.15%)"/>
    <n v="51.149299999999997"/>
    <n v="33599668841"/>
  </r>
  <r>
    <n v="216"/>
    <x v="215"/>
    <s v="CUMMINS INC. (XNYS:CMI)"/>
    <s v="Automobiles &amp; Auto Parts"/>
    <n v="0.104169"/>
    <n v="237.46"/>
    <n v="0.27"/>
    <s v="(0.11%)"/>
    <n v="17.6799"/>
    <n v="33501600000"/>
  </r>
  <r>
    <n v="217"/>
    <x v="216"/>
    <s v="AMERIPRISE FINANCIAL, INC. (XNYS:AMP)"/>
    <s v="Investment Banking &amp; Investment Services"/>
    <n v="0.10338799999999999"/>
    <n v="308.04000000000002"/>
    <n v="1.47"/>
    <s v="(0.48%)"/>
    <n v="12.7759"/>
    <n v="32773305084"/>
  </r>
  <r>
    <n v="218"/>
    <x v="217"/>
    <s v="CHARTER COMMUNICATIONS, INC. (XNAS:CHTR)"/>
    <s v="Telecommunications Services"/>
    <n v="0.102883"/>
    <n v="309.29000000000002"/>
    <n v="3.13"/>
    <s v="(1.02%)"/>
    <n v="9.5633999999999997"/>
    <n v="48147885667"/>
  </r>
  <r>
    <n v="219"/>
    <x v="218"/>
    <s v="HALLIBURTON COMPANY (XNYS:HAL)"/>
    <s v="Oil &amp; Gas Related Equipment and Services"/>
    <n v="0.10244200000000001"/>
    <n v="37.42"/>
    <n v="1.36"/>
    <s v="(3.77%)"/>
    <n v="18.6875"/>
    <n v="33983651489"/>
  </r>
  <r>
    <n v="220"/>
    <x v="219"/>
    <s v="FORTINET, INC. (XNAS:FTNT)"/>
    <s v="Software &amp; IT Services"/>
    <n v="0.10198699999999999"/>
    <n v="50.47"/>
    <n v="0.49"/>
    <s v="(0.98%)"/>
    <n v="54.866799999999998"/>
    <n v="39428980920"/>
  </r>
  <r>
    <n v="221"/>
    <x v="220"/>
    <s v="OTIS WORLDWIDE CORPORATION (XNYS:OTIS)"/>
    <s v="Machinery, Equipment &amp; Components"/>
    <n v="0.101897"/>
    <n v="77.92"/>
    <n v="0.05"/>
    <s v="(0.06%)"/>
    <n v="26.7852"/>
    <n v="32464554773"/>
  </r>
  <r>
    <n v="222"/>
    <x v="221"/>
    <s v="THE BANK OF NEW YORK MELLON CORPORATION (XNYS:BK)"/>
    <s v="Investment Banking &amp; Investment Services"/>
    <n v="0.10128"/>
    <n v="44.29"/>
    <n v="0.12"/>
    <s v="(0.27%)"/>
    <n v="13.4521"/>
    <n v="35794679800"/>
  </r>
  <r>
    <n v="223"/>
    <x v="222"/>
    <s v="THE KRAFT HEINZ COMPANY (XNAS:KHC)"/>
    <s v="Food &amp; Tobacco"/>
    <n v="9.9606E-2"/>
    <n v="39.79"/>
    <n v="-0.32"/>
    <s v="(-0.80%)"/>
    <n v="50.691299999999998"/>
    <n v="48739964700"/>
  </r>
  <r>
    <n v="224"/>
    <x v="223"/>
    <s v="ELECTRONIC ARTS INC. (XNAS:EA)"/>
    <s v="Software &amp; IT Services"/>
    <n v="9.9462999999999996E-2"/>
    <n v="118.58"/>
    <n v="-2.21"/>
    <s v="(-1.83%)"/>
    <n v="37.720100000000002"/>
    <n v="33245577684"/>
  </r>
  <r>
    <n v="225"/>
    <x v="224"/>
    <s v="VICI PROPERTIES INC. (XNYS:VICI)"/>
    <s v="Residential &amp; Commercial REIT"/>
    <n v="9.9010000000000001E-2"/>
    <n v="33.119999999999997"/>
    <n v="0.04"/>
    <s v="(0.12%)"/>
    <n v="30.909500000000001"/>
    <n v="33072875415"/>
  </r>
  <r>
    <n v="226"/>
    <x v="225"/>
    <s v="COSTAR GROUP, INC. (XNAS:CSGP)"/>
    <s v="Software &amp; IT Services"/>
    <n v="9.8174999999999998E-2"/>
    <n v="75.39"/>
    <n v="-1.77"/>
    <s v="(-2.29%)"/>
    <n v="90.131799999999998"/>
    <n v="31193130670"/>
  </r>
  <r>
    <n v="227"/>
    <x v="226"/>
    <s v="METTLER-TOLEDO INTERNATIONAL INC. (XNYS:MTD)"/>
    <s v="Office Equipment"/>
    <n v="9.8003999999999994E-2"/>
    <n v="1390.1"/>
    <n v="-7.83"/>
    <s v="(-0.56%)"/>
    <n v="38.253700000000002"/>
    <n v="31366141794"/>
  </r>
  <r>
    <n v="228"/>
    <x v="227"/>
    <s v="AMETEK, INC. (XNYS:AME)"/>
    <s v="Machinery, Equipment &amp; Components"/>
    <n v="9.7808000000000006E-2"/>
    <n v="137.75"/>
    <n v="0.77"/>
    <s v="(0.56%)"/>
    <n v="28.021000000000001"/>
    <n v="31625707424"/>
  </r>
  <r>
    <n v="229"/>
    <x v="228"/>
    <s v="TRANSDIGM GROUP INCORPORATED (XNYS:TDG)"/>
    <s v="Aerospace &amp; Defense"/>
    <n v="9.6776000000000001E-2"/>
    <n v="610.16"/>
    <n v="8.11"/>
    <s v="(1.35%)"/>
    <n v="44.979900000000001"/>
    <n v="33153824858"/>
  </r>
  <r>
    <n v="230"/>
    <x v="229"/>
    <s v="KEURIG DR PEPPER INC. (XNAS:KDP)"/>
    <s v="Beverages"/>
    <n v="9.6202999999999997E-2"/>
    <n v="36.11"/>
    <n v="-0.21"/>
    <s v="(-0.58%)"/>
    <n v="28.455500000000001"/>
    <n v="51353261260"/>
  </r>
  <r>
    <n v="231"/>
    <x v="230"/>
    <s v="KEYSIGHT TECHNOLOGIES, INC. (XNYS:KEYS)"/>
    <s v="Machinery, Equipment &amp; Components"/>
    <n v="9.6143000000000006E-2"/>
    <n v="172.29"/>
    <n v="0.91"/>
    <s v="(0.53%)"/>
    <n v="27.8004"/>
    <n v="30804676695"/>
  </r>
  <r>
    <n v="232"/>
    <x v="231"/>
    <s v="RESMED INC. (XWBO:RMD)"/>
    <s v="Healthcare Equipment &amp; Supplies"/>
    <n v="9.5850000000000005E-2"/>
    <n v="211.56"/>
    <n v="2.41"/>
    <s v="(1.15%)"/>
    <n v="36.090000000000003"/>
    <n v="32352380000"/>
  </r>
  <r>
    <n v="233"/>
    <x v="232"/>
    <s v="ILLUMINA, INC. (XNAS:ILMN)"/>
    <s v="Healthcare Equipment &amp; Supplies"/>
    <n v="9.4284999999999994E-2"/>
    <n v="191.46"/>
    <n v="-0.13"/>
    <s v="(-0.07%)"/>
    <n v="49.578400000000002"/>
    <n v="30116658000"/>
  </r>
  <r>
    <n v="234"/>
    <x v="233"/>
    <s v="WELLTOWER INC. (XNYS:WELL)"/>
    <s v="Residential &amp; Commercial REIT"/>
    <n v="9.4169000000000003E-2"/>
    <n v="63.58"/>
    <n v="-0.12"/>
    <s v="(-0.19%)"/>
    <n v="168.40710000000001"/>
    <n v="30042916970"/>
  </r>
  <r>
    <n v="235"/>
    <x v="234"/>
    <s v="ARISTA NETWORKS, INC. (XNYS:ANET)"/>
    <s v="Communications &amp; Networking"/>
    <n v="9.4163999999999998E-2"/>
    <n v="121.77"/>
    <n v="-0.78"/>
    <s v="(-0.64%)"/>
    <n v="33.390500000000003"/>
    <n v="37197352598"/>
  </r>
  <r>
    <n v="236"/>
    <x v="235"/>
    <s v="SBA Communications Corporation (XNAS:SBAC)"/>
    <s v="Residential &amp; Commercial REIT"/>
    <n v="9.3201999999999993E-2"/>
    <n v="278.36"/>
    <n v="0.9"/>
    <s v="(0.32%)"/>
    <n v="74.709900000000005"/>
    <n v="29956120000"/>
  </r>
  <r>
    <n v="237"/>
    <x v="236"/>
    <s v="WEC ENERGY GROUP, INC. (XNYS:WEC)"/>
    <s v="Electrical Utilities &amp; IPPs"/>
    <n v="9.2999999999999999E-2"/>
    <n v="94.33"/>
    <n v="0.09"/>
    <s v="(0.10%)"/>
    <n v="21.6007"/>
    <n v="29754936385"/>
  </r>
  <r>
    <n v="238"/>
    <x v="237"/>
    <s v="PUBLIC SERVICE ENTERPRISE GROUP INCORPORATED (XNYS:PEG)"/>
    <s v="Multiline Utilities"/>
    <n v="9.2674999999999993E-2"/>
    <n v="59.15"/>
    <n v="-0.21"/>
    <s v="(-0.35%)"/>
    <n v="43.361699999999999"/>
    <n v="29545306485"/>
  </r>
  <r>
    <n v="239"/>
    <x v="238"/>
    <s v="PPG INDUSTRIES, INC. (XNYS:PPG)"/>
    <s v="Chemicals"/>
    <n v="9.2061000000000004E-2"/>
    <n v="124.53"/>
    <n v="-1.1000000000000001"/>
    <s v="(-0.87%)"/>
    <n v="28.248799999999999"/>
    <n v="29319668150"/>
  </r>
  <r>
    <n v="240"/>
    <x v="239"/>
    <s v="DOLLAR TREE, INC. (XNAS:DLTR)"/>
    <s v="Diversified Retail"/>
    <n v="9.1747999999999996E-2"/>
    <n v="137.5"/>
    <n v="-1.92"/>
    <s v="(-1.38%)"/>
    <n v="19.508900000000001"/>
    <n v="30791094245"/>
  </r>
  <r>
    <n v="241"/>
    <x v="240"/>
    <s v="THE KROGER CO. (XNYS:KR)"/>
    <s v="Food &amp; Drug Retailing"/>
    <n v="9.0510999999999994E-2"/>
    <n v="44.58"/>
    <n v="0.18"/>
    <s v="(0.41%)"/>
    <n v="13.945600000000001"/>
    <n v="31918498521"/>
  </r>
  <r>
    <n v="242"/>
    <x v="241"/>
    <s v="ROCKWELL AUTOMATION, INC. (XNYS:ROK)"/>
    <s v="Machinery, Equipment &amp; Components"/>
    <n v="8.9787000000000006E-2"/>
    <n v="254.6"/>
    <n v="3.94"/>
    <s v="(1.57%)"/>
    <n v="31.445599999999999"/>
    <n v="28786840000"/>
  </r>
  <r>
    <n v="243"/>
    <x v="242"/>
    <s v="CONSTELLATION ENERGY CORPORATION. (XNAS:CEG)"/>
    <s v="Electrical Utilities &amp; IPPs"/>
    <n v="8.9752999999999999E-2"/>
    <n v="87.56"/>
    <n v="-0.17"/>
    <s v="(-0.19%)"/>
    <n v="44.336199999999998"/>
    <n v="28633687324"/>
  </r>
  <r>
    <n v="244"/>
    <x v="243"/>
    <s v="Eversource Energy (XNYS:ES)"/>
    <s v="Electrical Utilities &amp; IPPs"/>
    <n v="8.9455999999999994E-2"/>
    <n v="82.66"/>
    <n v="-0.17"/>
    <s v="(-0.21%)"/>
    <n v="20.608599999999999"/>
    <n v="28798055832"/>
  </r>
  <r>
    <n v="245"/>
    <x v="244"/>
    <s v="BAKER HUGHES COMPANY (XNAS:BKR)"/>
    <s v="Oil &amp; Gas Related Equipment and Services"/>
    <n v="8.9141999999999999E-2"/>
    <n v="28.92"/>
    <n v="0.66"/>
    <s v="(2.34%)"/>
    <n v="85.287700000000001"/>
    <n v="28499290000"/>
  </r>
  <r>
    <n v="246"/>
    <x v="245"/>
    <s v="DIGITAL REALTY TRUST, INC. (XNYS:DLR)"/>
    <s v="Residential &amp; Commercial REIT"/>
    <n v="8.9050000000000004E-2"/>
    <n v="98.74"/>
    <n v="-0.65"/>
    <s v="(-0.65%)"/>
    <n v="20.397400000000001"/>
    <n v="28387076679"/>
  </r>
  <r>
    <n v="247"/>
    <x v="246"/>
    <s v="STATE STREET CORPORATION (XNYS:STT)"/>
    <s v="Investment Banking &amp; Investment Services"/>
    <n v="8.9037000000000005E-2"/>
    <n v="76"/>
    <n v="-1.56"/>
    <s v="(-2.01%)"/>
    <n v="10.9849"/>
    <n v="28617666198"/>
  </r>
  <r>
    <n v="248"/>
    <x v="247"/>
    <s v="COGNIZANT TECHNOLOGY SOLUTIONS CORPORATION (XNAS:CTSH)"/>
    <s v="Software &amp; IT Services"/>
    <n v="8.8661000000000004E-2"/>
    <n v="55.04"/>
    <n v="0.06"/>
    <s v="(0.11%)"/>
    <n v="12.2416"/>
    <n v="28286233856"/>
  </r>
  <r>
    <n v="249"/>
    <x v="248"/>
    <s v="ONEOK, INC. (XNYS:OKE)"/>
    <s v="Oil &amp; Gas Related Equipment and Services"/>
    <n v="8.8610999999999995E-2"/>
    <n v="63.41"/>
    <n v="0.04"/>
    <s v="(0.07%)"/>
    <n v="17.5914"/>
    <n v="28381566300"/>
  </r>
  <r>
    <n v="250"/>
    <x v="249"/>
    <s v="WALGREENS BOOTS ALLIANCE, INC. (XNAS:WBA)"/>
    <s v="Food &amp; Drug Retailing"/>
    <n v="8.8299000000000002E-2"/>
    <n v="39.53"/>
    <n v="0.21"/>
    <s v="(0.53%)"/>
    <n v="7.8627000000000002"/>
    <n v="34088070926"/>
  </r>
  <r>
    <n v="251"/>
    <x v="250"/>
    <s v="D.R. HORTON, INC. (XNYS:DHI)"/>
    <s v="Homebuilding &amp; Construction Supplies"/>
    <n v="8.6822999999999997E-2"/>
    <n v="86.85"/>
    <n v="-1.24"/>
    <s v="(-1.41%)"/>
    <n v="5.3277000000000001"/>
    <n v="30206514393"/>
  </r>
  <r>
    <n v="252"/>
    <x v="251"/>
    <s v="ON SEMICONDUCTOR CORPORATION (XNAS:ON)"/>
    <s v="Semiconductors &amp; Semiconductor Equipment"/>
    <n v="8.6632000000000001E-2"/>
    <n v="64.02"/>
    <n v="-0.13"/>
    <s v="(-0.20%)"/>
    <n v="16.6433"/>
    <n v="27688083108"/>
  </r>
  <r>
    <n v="253"/>
    <x v="252"/>
    <s v="AMERICAN WATER WORKS COMPANY, INC. (XNYS:AWK)"/>
    <s v="Water Utilities"/>
    <n v="8.6170999999999998E-2"/>
    <n v="150.01"/>
    <n v="-1.47"/>
    <s v="(-0.97%)"/>
    <n v="20.9176"/>
    <n v="27316005417"/>
  </r>
  <r>
    <n v="254"/>
    <x v="253"/>
    <s v="ALBEMARLE CORPORATION (XNYS:ALB)"/>
    <s v="Chemicals"/>
    <n v="8.5518999999999998E-2"/>
    <n v="233.5"/>
    <n v="0.16"/>
    <s v="(0.07%)"/>
    <n v="17.693000000000001"/>
    <n v="27359864912"/>
  </r>
  <r>
    <n v="255"/>
    <x v="254"/>
    <s v="Fastenal Company (XNAS:FAST)"/>
    <s v="Machinery, Equipment &amp; Components"/>
    <n v="8.4770999999999999E-2"/>
    <n v="47.1"/>
    <n v="-0.65"/>
    <s v="(-1.36%)"/>
    <n v="25.679600000000001"/>
    <n v="27292009235"/>
  </r>
  <r>
    <n v="256"/>
    <x v="255"/>
    <s v="VERISK ANALYTICS, INC. (XNAS:VRSK)"/>
    <s v="Software &amp; IT Services"/>
    <n v="8.4768999999999997E-2"/>
    <n v="172.19"/>
    <n v="-1.03"/>
    <s v="(-0.59%)"/>
    <n v="26.897300000000001"/>
    <n v="26928449720"/>
  </r>
  <r>
    <n v="257"/>
    <x v="256"/>
    <s v="AMERISOURCEBERGEN CORPORATION (XNYS:ABC)"/>
    <s v="Healthcare Equipment &amp; Supplies"/>
    <n v="8.4726999999999997E-2"/>
    <n v="167.27"/>
    <n v="0.05"/>
    <s v="(0.03%)"/>
    <n v="20.804300000000001"/>
    <n v="33886665945"/>
  </r>
  <r>
    <n v="258"/>
    <x v="257"/>
    <s v="GARTNER, INC. (XNYS:IT)"/>
    <s v="Software &amp; IT Services"/>
    <n v="8.3624000000000004E-2"/>
    <n v="335.8"/>
    <n v="-3.26"/>
    <s v="(-0.96%)"/>
    <n v="36.568199999999997"/>
    <n v="26536386804"/>
  </r>
  <r>
    <n v="259"/>
    <x v="258"/>
    <s v="REPUBLIC SERVICES, INC. (XNYS:RSG)"/>
    <s v="Professional &amp; Commercial Services"/>
    <n v="8.3026000000000003E-2"/>
    <n v="129.91999999999999"/>
    <n v="0.27"/>
    <s v="(0.21%)"/>
    <n v="28.301100000000002"/>
    <n v="41080117000"/>
  </r>
  <r>
    <n v="260"/>
    <x v="259"/>
    <s v="OLD DOMINION FREIGHT LINE, INC. (XNAS:ODFL)"/>
    <s v="Freight &amp; Logistics Services"/>
    <n v="8.2872000000000001E-2"/>
    <n v="284.20999999999998"/>
    <n v="-5.98"/>
    <s v="(-2.06%)"/>
    <n v="24.848700000000001"/>
    <n v="31399975535"/>
  </r>
  <r>
    <n v="261"/>
    <x v="260"/>
    <s v="ZIMMER BIOMET HOLDINGS, INC. (XNYS:ZBH)"/>
    <s v="Healthcare Equipment &amp; Supplies"/>
    <n v="8.2038E-2"/>
    <n v="125.5"/>
    <n v="0.54"/>
    <s v="(0.43%)"/>
    <n v="77.768000000000001"/>
    <n v="26336476200"/>
  </r>
  <r>
    <n v="262"/>
    <x v="261"/>
    <s v="Willis Towers Watson Public Limited Company (XNAS:WTW)"/>
    <s v="Insurance"/>
    <n v="8.1969E-2"/>
    <n v="239.85"/>
    <n v="0.54"/>
    <s v="(0.23%)"/>
    <n v="28.220099999999999"/>
    <n v="25902350000"/>
  </r>
  <r>
    <n v="263"/>
    <x v="262"/>
    <s v="INTERNATIONAL FLAVORS &amp; FRAGRANCES INC. (XNYS:IFF)"/>
    <s v="Food &amp; Tobacco"/>
    <n v="8.1087999999999993E-2"/>
    <n v="102.04"/>
    <n v="0.38"/>
    <s v="(0.38%)"/>
    <n v="38.623600000000003"/>
    <n v="26054587218"/>
  </r>
  <r>
    <n v="264"/>
    <x v="263"/>
    <s v="DISCOVER FINANCIAL SERVICES (XNYS:DFS)"/>
    <s v="Banking Services"/>
    <n v="8.1053E-2"/>
    <n v="96.71"/>
    <n v="1.54"/>
    <s v="(1.62%)"/>
    <n v="6.1410999999999998"/>
    <n v="26422300989"/>
  </r>
  <r>
    <n v="265"/>
    <x v="264"/>
    <s v="COPART, INC. (XNAS:CPRT)"/>
    <s v="Specialty Retailers"/>
    <n v="8.0854999999999996E-2"/>
    <n v="60.16"/>
    <n v="-0.15"/>
    <s v="(-0.25%)"/>
    <n v="27.0184"/>
    <n v="28697075000"/>
  </r>
  <r>
    <n v="266"/>
    <x v="265"/>
    <s v="GLOBAL PAYMENTS INC. (XNYS:GPN)"/>
    <s v="Professional &amp; Commercial Services"/>
    <n v="8.0478999999999995E-2"/>
    <n v="94"/>
    <n v="0.87"/>
    <s v="(0.93%)"/>
    <n v="415.53629999999998"/>
    <n v="25412304776"/>
  </r>
  <r>
    <n v="267"/>
    <x v="266"/>
    <s v="PG&amp;E CORPORATION (XNYS:PCG)"/>
    <s v="Electrical Utilities &amp; IPPs"/>
    <n v="7.9786999999999997E-2"/>
    <n v="15.85"/>
    <n v="0.01"/>
    <s v="(0.07%)"/>
    <n v="18.845300000000002"/>
    <n v="39126596280"/>
  </r>
  <r>
    <n v="268"/>
    <x v="267"/>
    <s v="W.W. GRAINGER, INC. (XNYS:GWW)"/>
    <s v="Machinery, Equipment &amp; Components"/>
    <n v="7.9240000000000005E-2"/>
    <n v="555.52"/>
    <n v="-5.75"/>
    <s v="(-1.02%)"/>
    <n v="19.921800000000001"/>
    <n v="28438372820"/>
  </r>
  <r>
    <n v="269"/>
    <x v="268"/>
    <s v="APTIV PLC (XNYS:APTV)"/>
    <s v="Automobiles &amp; Auto Parts"/>
    <n v="7.8927999999999998E-2"/>
    <n v="93.7"/>
    <n v="0.59"/>
    <s v="(0.63%)"/>
    <n v="81.300299999999993"/>
    <n v="25385268024"/>
  </r>
  <r>
    <n v="270"/>
    <x v="269"/>
    <s v="BAXTER INTERNATIONAL INC. (XNYS:BAX)"/>
    <s v="Healthcare Equipment &amp; Supplies"/>
    <n v="7.8174999999999994E-2"/>
    <n v="49.85"/>
    <n v="-0.1"/>
    <s v="(-0.20%)"/>
    <n v="28.8703"/>
    <n v="25195957584"/>
  </r>
  <r>
    <n v="271"/>
    <x v="270"/>
    <s v="GENUINE PARTS COMPANY (XNYS:GPC)"/>
    <s v="Automobiles &amp; Auto Parts"/>
    <n v="7.7788999999999997E-2"/>
    <n v="171.49"/>
    <n v="-4.38"/>
    <s v="(-2.49%)"/>
    <n v="21.120699999999999"/>
    <n v="24769842640"/>
  </r>
  <r>
    <n v="272"/>
    <x v="271"/>
    <s v="EDISON INTERNATIONAL (XNYS:EIX)"/>
    <s v="Electrical Utilities &amp; IPPs"/>
    <n v="7.7595999999999998E-2"/>
    <n v="63.13"/>
    <n v="-1.82"/>
    <s v="(-2.80%)"/>
    <n v="34.296300000000002"/>
    <n v="24776030536"/>
  </r>
  <r>
    <n v="273"/>
    <x v="272"/>
    <s v="M&amp;T BANK CORPORATION (XNYS:MTB)"/>
    <s v="Banking Services"/>
    <n v="7.7026999999999998E-2"/>
    <n v="140.31"/>
    <n v="-0.34"/>
    <s v="(-0.24%)"/>
    <n v="13.264900000000001"/>
    <n v="24278070000"/>
  </r>
  <r>
    <n v="274"/>
    <x v="273"/>
    <s v="T. ROWE PRICE GROUP, INC. (XNAS:TROW)"/>
    <s v="Investment Banking &amp; Investment Services"/>
    <n v="7.6987E-2"/>
    <n v="109.08"/>
    <n v="-0.45"/>
    <s v="(-0.41%)"/>
    <n v="12.575699999999999"/>
    <n v="24426937288"/>
  </r>
  <r>
    <n v="275"/>
    <x v="274"/>
    <s v="UNITED RENTALS, INC. (XNYS:URI)"/>
    <s v="Professional &amp; Commercial Services"/>
    <n v="7.6603000000000004E-2"/>
    <n v="351.5"/>
    <n v="0.25"/>
    <s v="(0.07%)"/>
    <n v="12.9245"/>
    <n v="24293315324"/>
  </r>
  <r>
    <n v="276"/>
    <x v="275"/>
    <s v="HP INC. (XNYS:HPQ)"/>
    <s v="Computers, Phones &amp; Household Electronics"/>
    <n v="7.5369000000000005E-2"/>
    <n v="26.65"/>
    <n v="0.09"/>
    <s v="(0.34%)"/>
    <n v="8.8138000000000005"/>
    <n v="26149631925"/>
  </r>
  <r>
    <n v="277"/>
    <x v="276"/>
    <s v="CBRE GROUP, INC. (XNYS:CBRE)"/>
    <s v="Real Estate Operations"/>
    <n v="7.5076000000000004E-2"/>
    <n v="74.87"/>
    <n v="-0.14000000000000001"/>
    <s v="(-0.19%)"/>
    <n v="12.388199999999999"/>
    <n v="23651904710"/>
  </r>
  <r>
    <n v="278"/>
    <x v="277"/>
    <s v="CORNING INCORPORATED (XNYS:GLW)"/>
    <s v="Electronic Equipment &amp; Parts"/>
    <n v="7.5020000000000003E-2"/>
    <n v="31.55"/>
    <n v="-0.2"/>
    <s v="(-0.63%)"/>
    <n v="14.8088"/>
    <n v="26676891556"/>
  </r>
  <r>
    <n v="279"/>
    <x v="278"/>
    <s v="CDW CORPORATION (XNAS:CDW)"/>
    <s v="Software &amp; IT Services"/>
    <n v="7.4845999999999996E-2"/>
    <n v="178.94"/>
    <n v="0.61"/>
    <s v="(0.34%)"/>
    <n v="23.444400000000002"/>
    <n v="24226865540"/>
  </r>
  <r>
    <n v="280"/>
    <x v="279"/>
    <s v="THE HARTFORD FINANCIAL SERVICES GROUP, INC. (XNYS:HIG)"/>
    <s v="Insurance"/>
    <n v="7.4216000000000004E-2"/>
    <n v="73.3"/>
    <n v="-0.36"/>
    <s v="(-0.49%)"/>
    <n v="12.838699999999999"/>
    <n v="23822426621"/>
  </r>
  <r>
    <n v="281"/>
    <x v="280"/>
    <s v="DIAMONDBACK ENERGY, INC. (XNAS:FANG)"/>
    <s v="Oil &amp; Gas"/>
    <n v="7.4019000000000001E-2"/>
    <n v="134.94"/>
    <n v="1.36"/>
    <s v="(1.02%)"/>
    <n v="5.4353999999999996"/>
    <n v="23749251084"/>
  </r>
  <r>
    <n v="282"/>
    <x v="281"/>
    <s v="EQUIFAX INC. (XNYS:EFX)"/>
    <s v="Professional &amp; Commercial Services"/>
    <n v="7.3228000000000001E-2"/>
    <n v="188.65"/>
    <n v="-2.52"/>
    <s v="(-1.32%)"/>
    <n v="33.234099999999998"/>
    <n v="23288734680"/>
  </r>
  <r>
    <n v="283"/>
    <x v="282"/>
    <s v="TRACTOR SUPPLY COMPANY (XNAS:TSCO)"/>
    <s v="Specialty Retailers"/>
    <n v="7.3175000000000004E-2"/>
    <n v="209.95"/>
    <n v="-1.51"/>
    <s v="(-0.71%)"/>
    <n v="22.968599999999999"/>
    <n v="23358560000"/>
  </r>
  <r>
    <n v="284"/>
    <x v="283"/>
    <s v="VULCAN MATERIALS COMPANY (XNYS:VMC)"/>
    <s v="Construction Materials"/>
    <n v="7.2942000000000007E-2"/>
    <n v="176.32"/>
    <n v="0.9"/>
    <s v="(0.51%)"/>
    <n v="38.355499999999999"/>
    <n v="23314520000"/>
  </r>
  <r>
    <n v="285"/>
    <x v="284"/>
    <s v="LENNAR CORPORATION (XNYS:LEN)"/>
    <s v="Homebuilding &amp; Construction Supplies"/>
    <n v="7.1637999999999993E-2"/>
    <n v="89.01"/>
    <n v="-1.0900000000000001"/>
    <s v="(-1.21%)"/>
    <n v="5.7106000000000003"/>
    <n v="25659000000"/>
  </r>
  <r>
    <n v="286"/>
    <x v="285"/>
    <s v="ULTA BEAUTY, INC. (XNAS:ULTA)"/>
    <s v="Specialty Retailers"/>
    <n v="7.1527999999999994E-2"/>
    <n v="439.2"/>
    <n v="-1.31"/>
    <s v="(-0.30%)"/>
    <n v="19.366499999999998"/>
    <n v="22346834184"/>
  </r>
  <r>
    <n v="287"/>
    <x v="286"/>
    <s v="ENTERGY CORPORATION (XNYS:ETR)"/>
    <s v="Electrical Utilities &amp; IPPs"/>
    <n v="7.1503999999999998E-2"/>
    <n v="109.77"/>
    <n v="-3.37"/>
    <s v="(-2.98%)"/>
    <n v="18.375699999999998"/>
    <n v="22942787175"/>
  </r>
  <r>
    <n v="288"/>
    <x v="287"/>
    <s v="WEYERHAEUSER COMPANY (XNYS:WY)"/>
    <s v="Residential &amp; Commercial REIT"/>
    <n v="7.1371000000000004E-2"/>
    <n v="30.86"/>
    <n v="0.03"/>
    <s v="(0.10%)"/>
    <n v="10.078900000000001"/>
    <n v="22747194470"/>
  </r>
  <r>
    <n v="289"/>
    <x v="288"/>
    <s v="AVALONBAY COMMUNITIES, INC. (XNYS:AVB)"/>
    <s v="Residential &amp; Commercial REIT"/>
    <n v="7.1001999999999996E-2"/>
    <n v="159"/>
    <n v="-3.22"/>
    <s v="(-1.98%)"/>
    <n v="18.482399999999998"/>
    <n v="22552859854"/>
  </r>
  <r>
    <n v="290"/>
    <x v="289"/>
    <s v="EBAY INC. (XNAS:EBAY)"/>
    <s v="Software &amp; IT Services"/>
    <n v="7.0816000000000004E-2"/>
    <n v="40.200000000000003"/>
    <n v="-1.1399999999999999"/>
    <s v="(-2.75%)"/>
    <n v="253.23410000000001"/>
    <n v="22232743327"/>
  </r>
  <r>
    <n v="291"/>
    <x v="290"/>
    <s v="AMEREN CORPORATION (XNYS:AEE)"/>
    <s v="Multiline Utilities"/>
    <n v="7.0607000000000003E-2"/>
    <n v="86.62"/>
    <n v="-0.68"/>
    <s v="(-0.78%)"/>
    <n v="21.847999999999999"/>
    <n v="22568980000"/>
  </r>
  <r>
    <n v="292"/>
    <x v="291"/>
    <s v="FORTIVE CORPORATION (XNYS:FTV)"/>
    <s v="Machinery, Equipment &amp; Components"/>
    <n v="7.0400000000000004E-2"/>
    <n v="63.83"/>
    <n v="0.22"/>
    <s v="(0.35%)"/>
    <n v="33.018599999999999"/>
    <n v="22583583789"/>
  </r>
  <r>
    <n v="293"/>
    <x v="292"/>
    <s v="ARCH CAPITAL GROUP LTD. (XNAS:ACGL)"/>
    <s v="Insurance"/>
    <n v="7.0055000000000006E-2"/>
    <n v="62.24"/>
    <n v="1.7"/>
    <s v="(2.81%)"/>
    <n v="19.3903"/>
    <n v="23020895520"/>
  </r>
  <r>
    <n v="294"/>
    <x v="293"/>
    <s v="FIRSTENERGY CORP. (XNYS:FE)"/>
    <s v="Electrical Utilities &amp; IPPs"/>
    <n v="6.9405999999999995E-2"/>
    <n v="41.25"/>
    <n v="0.24"/>
    <s v="(0.59%)"/>
    <n v="18.6614"/>
    <n v="23584819500"/>
  </r>
  <r>
    <n v="295"/>
    <x v="294"/>
    <s v="DTE ENERGY COMPANY (XNYS:DTE)"/>
    <s v="Electrical Utilities &amp; IPPs"/>
    <n v="6.8954000000000001E-2"/>
    <n v="113.19"/>
    <n v="-1.99"/>
    <s v="(-1.73%)"/>
    <n v="20.022400000000001"/>
    <n v="22371388740"/>
  </r>
  <r>
    <n v="296"/>
    <x v="295"/>
    <s v="FIRST REPUBLIC BANK (XNYS:FRC)"/>
    <s v="Banking Services"/>
    <n v="6.8052000000000001E-2"/>
    <n v="118.63"/>
    <n v="-0.85"/>
    <s v="(-0.71%)"/>
    <n v="14.234400000000001"/>
    <n v="21700440202"/>
  </r>
  <r>
    <n v="297"/>
    <x v="296"/>
    <s v="FIFTH THIRD BANCORP (XNAS:FITB)"/>
    <s v="Banking Services"/>
    <n v="6.7965999999999999E-2"/>
    <n v="31.63"/>
    <n v="-0.02"/>
    <s v="(-0.06%)"/>
    <n v="9.7375000000000007"/>
    <n v="21751895578"/>
  </r>
  <r>
    <n v="298"/>
    <x v="297"/>
    <s v="SOUTHWEST AIRLINES CO. (XNYS:LUV)"/>
    <s v="Passenger Transportation Services"/>
    <n v="6.7524000000000001E-2"/>
    <n v="36.39"/>
    <n v="0.04"/>
    <s v="(0.11%)"/>
    <n v="28.555499999999999"/>
    <n v="21600697760"/>
  </r>
  <r>
    <n v="299"/>
    <x v="298"/>
    <s v="PPL CORPORATION (XNYS:PPL)"/>
    <s v="Multiline Utilities"/>
    <n v="6.6742999999999997E-2"/>
    <n v="29"/>
    <n v="-0.11"/>
    <s v="(-0.37%)"/>
    <n v="30.355799999999999"/>
    <n v="21478404811"/>
  </r>
  <r>
    <n v="300"/>
    <x v="299"/>
    <s v="ALEXANDRIA REAL ESTATE EQUITIES, INC. (XNYS:ARE)"/>
    <s v="Residential &amp; Commercial REIT"/>
    <n v="6.6521999999999998E-2"/>
    <n v="143.19999999999999"/>
    <n v="-0.91"/>
    <s v="(-0.63%)"/>
    <n v="43.477600000000002"/>
    <n v="23774608896"/>
  </r>
  <r>
    <n v="301"/>
    <x v="300"/>
    <s v="MARTIN MARIETTA MATERIALS, INC. (XNYS:MLM)"/>
    <s v="Construction Materials"/>
    <n v="6.5694000000000002E-2"/>
    <n v="341.73"/>
    <n v="0.88"/>
    <s v="(0.26%)"/>
    <n v="25.831"/>
    <n v="21223218748"/>
  </r>
  <r>
    <n v="302"/>
    <x v="301"/>
    <s v="DELTA AIR LINES, INC. (XNYS:DAL)"/>
    <s v="Passenger Transportation Services"/>
    <n v="6.5074999999999994E-2"/>
    <n v="32.92"/>
    <n v="0"/>
    <s v="(0.00%)"/>
    <n v="289.50839999999999"/>
    <n v="21091892418"/>
  </r>
  <r>
    <n v="303"/>
    <x v="302"/>
    <s v="CARDINAL HEALTH, INC. (XNYS:CAH)"/>
    <s v="Pharmaceuticals"/>
    <n v="6.5065999999999999E-2"/>
    <n v="79"/>
    <n v="-0.34"/>
    <s v="(-0.43%)"/>
    <n v="31.646599999999999"/>
    <n v="20797710000"/>
  </r>
  <r>
    <n v="304"/>
    <x v="303"/>
    <s v="MCCORMICK &amp; COMPANY, INCORPORATED (XNYS:MKC)"/>
    <s v="Food &amp; Tobacco"/>
    <n v="6.4948000000000006E-2"/>
    <n v="81.5"/>
    <n v="-1.34"/>
    <s v="(-1.62%)"/>
    <n v="32.331600000000002"/>
    <n v="22199780000"/>
  </r>
  <r>
    <n v="305"/>
    <x v="304"/>
    <s v="LABORATORY CORPORATION OF AMERICA HOLDINGS (XNYS:LH)"/>
    <s v="Healthcare Providers &amp; Services"/>
    <n v="6.4574999999999994E-2"/>
    <n v="221.38"/>
    <n v="-7.63"/>
    <s v="(-3.33%)"/>
    <n v="12.226599999999999"/>
    <n v="20060812000"/>
  </r>
  <r>
    <n v="306"/>
    <x v="305"/>
    <s v="Nasdaq, Inc. (XNAS:NDAQ)"/>
    <s v="Investment Banking &amp; Investment Services"/>
    <n v="6.3902E-2"/>
    <n v="60.2"/>
    <n v="-0.26"/>
    <s v="(-0.43%)"/>
    <n v="26.4559"/>
    <n v="29535723540"/>
  </r>
  <r>
    <n v="307"/>
    <x v="306"/>
    <s v="INGERSOLL RAND INC. (XNYS:IR)"/>
    <s v="Machinery, Equipment &amp; Components"/>
    <n v="6.3895999999999994E-2"/>
    <n v="51.91"/>
    <n v="0.84"/>
    <s v="(1.64%)"/>
    <n v="38.1755"/>
    <n v="21019698278"/>
  </r>
  <r>
    <n v="308"/>
    <x v="307"/>
    <s v="LyondellBasell Industries NV (XNYS:LYB)"/>
    <s v="Chemicals"/>
    <n v="6.3702999999999996E-2"/>
    <n v="80.75"/>
    <n v="0.45"/>
    <s v="(0.56%)"/>
    <n v="6.2080000000000002"/>
    <n v="26290914056"/>
  </r>
  <r>
    <n v="309"/>
    <x v="308"/>
    <s v="RAYMOND JAMES FINANCIAL, INC. (XNYS:RJF)"/>
    <s v="Investment Banking &amp; Investment Services"/>
    <n v="6.3530000000000003E-2"/>
    <n v="105.63"/>
    <n v="0.48"/>
    <s v="(0.46%)"/>
    <n v="15.0693"/>
    <n v="22717168068"/>
  </r>
  <r>
    <n v="310"/>
    <x v="309"/>
    <s v="ANSYS, INC. (XNAS:ANSS)"/>
    <s v="Software &amp; IT Services"/>
    <n v="6.3361000000000001E-2"/>
    <n v="236"/>
    <n v="0.6"/>
    <s v="(0.25%)"/>
    <n v="44.067300000000003"/>
    <n v="20617722596"/>
  </r>
  <r>
    <n v="311"/>
    <x v="310"/>
    <s v="WARNER BROS. DISCOVERY, INC. (XNAS:WBD)"/>
    <s v="Media &amp; Publishing"/>
    <n v="6.3282000000000005E-2"/>
    <n v="9.0500000000000007"/>
    <n v="-0.2"/>
    <s v="(-2.16%)"/>
    <n v="7.2262000000000004"/>
    <n v="21928415880"/>
  </r>
  <r>
    <n v="312"/>
    <x v="311"/>
    <s v="WATERS CORPORATION (XNYS:WAT)"/>
    <s v="Healthcare Equipment &amp; Supplies"/>
    <n v="6.2925999999999996E-2"/>
    <n v="333.02"/>
    <n v="-4.28"/>
    <s v="(-1.27%)"/>
    <n v="29.416799999999999"/>
    <n v="20174814168"/>
  </r>
  <r>
    <n v="313"/>
    <x v="312"/>
    <s v="QUANTA SERVICES, INC. (XNYS:PWR)"/>
    <s v="Construction &amp; Engineering"/>
    <n v="6.2899999999999998E-2"/>
    <n v="142.47999999999999"/>
    <n v="0.12"/>
    <s v="(0.09%)"/>
    <n v="48.605400000000003"/>
    <n v="20384141674"/>
  </r>
  <r>
    <n v="314"/>
    <x v="313"/>
    <s v="EQUITY RESIDENTIAL (XNYS:EQR)"/>
    <s v="Residential &amp; Commercial REIT"/>
    <n v="6.2769000000000005E-2"/>
    <n v="58.1"/>
    <n v="-1.55"/>
    <s v="(-2.60%)"/>
    <n v="19.4908"/>
    <n v="22259423210"/>
  </r>
  <r>
    <n v="315"/>
    <x v="314"/>
    <s v="HEWLETT PACKARD ENTERPRISE COMPANY (XNYS:HPE)"/>
    <s v="Computers, Phones &amp; Household Electronics"/>
    <n v="6.2456999999999999E-2"/>
    <n v="15.67"/>
    <n v="0.19"/>
    <s v="(1.20%)"/>
    <n v="23.8337"/>
    <n v="20079663305"/>
  </r>
  <r>
    <n v="316"/>
    <x v="315"/>
    <s v="HUNTINGTON BANCSHARES INCORPORATED (XNAS:HBAN)"/>
    <s v="Banking Services"/>
    <n v="6.1258E-2"/>
    <n v="13.78"/>
    <n v="0.09"/>
    <s v="(0.66%)"/>
    <n v="10.6853"/>
    <n v="19880874520"/>
  </r>
  <r>
    <n v="317"/>
    <x v="316"/>
    <s v="PRINCIPAL FINANCIAL GROUP, INC. (XNAS:PFG)"/>
    <s v="Investment Banking &amp; Investment Services"/>
    <n v="6.0872000000000002E-2"/>
    <n v="84.85"/>
    <n v="0.54"/>
    <s v="(0.64%)"/>
    <n v="4.0885999999999996"/>
    <n v="20761335580"/>
  </r>
  <r>
    <n v="318"/>
    <x v="317"/>
    <s v="EXTRA SPACE STORAGE INC. (XNYS:EXR)"/>
    <s v="Residential &amp; Commercial REIT"/>
    <n v="6.0639999999999999E-2"/>
    <n v="145.87"/>
    <n v="-0.84"/>
    <s v="(-0.57%)"/>
    <n v="21.301500000000001"/>
    <n v="19535129205"/>
  </r>
  <r>
    <n v="319"/>
    <x v="318"/>
    <s v="REGIONS FINANCIAL CORPORATION (XNYS:RF)"/>
    <s v="Banking Services"/>
    <n v="6.0457999999999998E-2"/>
    <n v="20.68"/>
    <n v="0.08"/>
    <s v="(0.40%)"/>
    <n v="10.2691"/>
    <n v="19357040604"/>
  </r>
  <r>
    <n v="320"/>
    <x v="319"/>
    <s v="XYLEM INC. (XNYS:XYL)"/>
    <s v="Machinery, Equipment &amp; Components"/>
    <n v="6.0389999999999999E-2"/>
    <n v="108.28"/>
    <n v="-0.2"/>
    <s v="(-0.18%)"/>
    <n v="61.562199999999997"/>
    <n v="19514384020"/>
  </r>
  <r>
    <n v="321"/>
    <x v="320"/>
    <s v="CHURCH &amp; DWIGHT CO., INC. (XNYS:CHD)"/>
    <s v="Personal &amp; Household Products &amp; Services"/>
    <n v="6.0323000000000002E-2"/>
    <n v="79.819999999999993"/>
    <n v="-7.0000000000000007E-2"/>
    <s v="(-0.09%)"/>
    <n v="26.7714"/>
    <n v="19463129023"/>
  </r>
  <r>
    <n v="322"/>
    <x v="321"/>
    <s v="Coterra Energy Inc. (XNYS:CTRA)"/>
    <s v="Oil &amp; Gas"/>
    <n v="6.0238E-2"/>
    <n v="24.48"/>
    <n v="0.17"/>
    <s v="(0.70%)"/>
    <n v="4.9465000000000003"/>
    <n v="19285910158"/>
  </r>
  <r>
    <n v="323"/>
    <x v="322"/>
    <s v="MOLINA HEALTHCARE, INC. (XNYS:MOH)"/>
    <s v="Healthcare Providers &amp; Services"/>
    <n v="6.0142000000000001E-2"/>
    <n v="329.4"/>
    <n v="-2.25"/>
    <s v="(-0.68%)"/>
    <n v="23.134599999999999"/>
    <n v="19229368000"/>
  </r>
  <r>
    <n v="324"/>
    <x v="323"/>
    <s v="DOVER CORPORATION (XNYS:DOV)"/>
    <s v="Machinery, Equipment &amp; Components"/>
    <n v="5.8855999999999999E-2"/>
    <n v="131.18"/>
    <n v="-1.2"/>
    <s v="(-0.91%)"/>
    <n v="16.446300000000001"/>
    <n v="19127944225"/>
  </r>
  <r>
    <n v="325"/>
    <x v="324"/>
    <s v="EPAM SYSTEMS, INC. (XNYS:EPAM)"/>
    <s v="Software &amp; IT Services"/>
    <n v="5.8764999999999998E-2"/>
    <n v="331.72"/>
    <n v="3.15"/>
    <s v="(0.96%)"/>
    <n v="47.8446"/>
    <n v="19087577061"/>
  </r>
  <r>
    <n v="326"/>
    <x v="325"/>
    <s v="CITIZENS FINANCIAL GROUP, INC. (XNYS:CFG)"/>
    <s v="Banking Services"/>
    <n v="5.8587E-2"/>
    <n v="38"/>
    <n v="-0.2"/>
    <s v="(-0.52%)"/>
    <n v="9.5540000000000003"/>
    <n v="18739282550"/>
  </r>
  <r>
    <n v="327"/>
    <x v="326"/>
    <s v="CENTERPOINT ENERGY, INC. (XNYS:CNP)"/>
    <s v="Multiline Utilities"/>
    <n v="5.8355999999999998E-2"/>
    <n v="29.97"/>
    <n v="-0.01"/>
    <s v="(-0.03%)"/>
    <n v="20.804099999999998"/>
    <n v="18870329610"/>
  </r>
  <r>
    <n v="328"/>
    <x v="327"/>
    <s v="VERISIGN, INC. (XNAS:VRSN)"/>
    <s v="Software &amp; IT Services"/>
    <n v="5.8326999999999997E-2"/>
    <n v="197.01"/>
    <n v="-3.48"/>
    <s v="(-1.74%)"/>
    <n v="26.661000000000001"/>
    <n v="21255240000"/>
  </r>
  <r>
    <n v="329"/>
    <x v="328"/>
    <s v="THE AES CORPORATION (XNYS:AES)"/>
    <s v="Electrical Utilities &amp; IPPs"/>
    <n v="5.8051999999999999E-2"/>
    <n v="28.36"/>
    <n v="0.16"/>
    <s v="(0.57%)"/>
    <n v="0"/>
    <n v="18949735826"/>
  </r>
  <r>
    <n v="330"/>
    <x v="329"/>
    <s v="CF INDUSTRIES HOLDINGS, INC. (XNYS:CF)"/>
    <s v="Chemicals"/>
    <n v="5.7602E-2"/>
    <n v="93.55"/>
    <n v="0.83"/>
    <s v="(0.90%)"/>
    <n v="6.0865"/>
    <n v="18345680145"/>
  </r>
  <r>
    <n v="331"/>
    <x v="330"/>
    <s v="HOLOGIC, INC. (XNAS:HOLX)"/>
    <s v="Healthcare Equipment &amp; Supplies"/>
    <n v="5.7282E-2"/>
    <n v="72.540000000000006"/>
    <n v="-0.77"/>
    <s v="(-1.05%)"/>
    <n v="14.322800000000001"/>
    <n v="18216284580"/>
  </r>
  <r>
    <n v="332"/>
    <x v="331"/>
    <s v="KELLOGG COMPANY (XNYS:K)"/>
    <s v="Food &amp; Tobacco"/>
    <n v="5.7264000000000002E-2"/>
    <n v="70.98"/>
    <n v="-0.53"/>
    <s v="(-0.74%)"/>
    <n v="16.4724"/>
    <n v="24220719667"/>
  </r>
  <r>
    <n v="333"/>
    <x v="332"/>
    <s v="CONAGRA BRANDS, INC. (XNYS:CAG)"/>
    <s v="Food &amp; Tobacco"/>
    <n v="5.6566999999999999E-2"/>
    <n v="38.49"/>
    <n v="0.36"/>
    <s v="(0.94%)"/>
    <n v="31.964400000000001"/>
    <n v="18508828100"/>
  </r>
  <r>
    <n v="334"/>
    <x v="333"/>
    <s v="WESTINGHOUSE AIR BRAKE TECHNOLOGIES CORPORATION (XNYS:WAB)"/>
    <s v="Machinery, Equipment &amp; Components"/>
    <n v="5.6402000000000001E-2"/>
    <n v="99.87"/>
    <n v="0.41"/>
    <s v="(0.41%)"/>
    <n v="27.681899999999999"/>
    <n v="18166784531"/>
  </r>
  <r>
    <n v="335"/>
    <x v="334"/>
    <s v="Amcor plc (XNYS:AMCR)"/>
    <s v="Containers &amp; Packaging"/>
    <n v="5.636E-2"/>
    <n v="12.05"/>
    <n v="0.03"/>
    <s v="(0.25%)"/>
    <n v="21.793099999999999"/>
    <n v="17942691000"/>
  </r>
  <r>
    <n v="336"/>
    <x v="335"/>
    <s v="TELEDYNE TECHNOLOGIES INCORPORATED (XNYS:TDY)"/>
    <s v="Electronic Equipment &amp; Parts"/>
    <n v="5.6358999999999999E-2"/>
    <n v="392.2"/>
    <n v="1.92"/>
    <s v="(0.49%)"/>
    <n v="25.737200000000001"/>
    <n v="18382841498"/>
  </r>
  <r>
    <n v="337"/>
    <x v="336"/>
    <s v="NORTHERN TRUST CORPORATION (XNAS:NTRS)"/>
    <s v="Investment Banking &amp; Investment Services"/>
    <n v="5.6154000000000003E-2"/>
    <n v="85.05"/>
    <n v="-2.1800000000000002"/>
    <s v="(-2.50%)"/>
    <n v="11.888199999999999"/>
    <n v="18155091627"/>
  </r>
  <r>
    <n v="338"/>
    <x v="337"/>
    <s v="STERIS PUBLIC LIMITED COMPANY (XNYS:STE)"/>
    <s v="Healthcare Equipment &amp; Supplies"/>
    <n v="5.6023999999999997E-2"/>
    <n v="180.15"/>
    <n v="-0.35"/>
    <s v="(-0.19%)"/>
    <n v="43.032400000000003"/>
    <n v="17986099131"/>
  </r>
  <r>
    <n v="339"/>
    <x v="338"/>
    <s v="TYSON FOODS, INC. (XNYS:TSN)"/>
    <s v="Food &amp; Tobacco"/>
    <n v="5.5359999999999999E-2"/>
    <n v="61.38"/>
    <n v="0.56999999999999995"/>
    <s v="(0.94%)"/>
    <n v="6.8327"/>
    <n v="22075187127"/>
  </r>
  <r>
    <n v="340"/>
    <x v="339"/>
    <s v="CMS ENERGY CORPORATION (XNYS:CMS)"/>
    <s v="Multiline Utilities"/>
    <n v="5.5279000000000002E-2"/>
    <n v="61.78"/>
    <n v="0.2"/>
    <s v="(0.32%)"/>
    <n v="24.702200000000001"/>
    <n v="17931743848"/>
  </r>
  <r>
    <n v="341"/>
    <x v="340"/>
    <s v="MID-AMERICA APARTMENT COMMUNITIES, INC. (XNYS:MAA)"/>
    <s v="Residential &amp; Commercial REIT"/>
    <n v="5.5266000000000003E-2"/>
    <n v="154.11000000000001"/>
    <n v="-1.2"/>
    <s v="(-0.77%)"/>
    <n v="28.687000000000001"/>
    <n v="17934740000"/>
  </r>
  <r>
    <n v="342"/>
    <x v="341"/>
    <s v="EXPEDITORS INTERNATIONAL OF WASHINGTON, INC (XNAS:EXPD)"/>
    <s v="Freight &amp; Logistics Services"/>
    <n v="5.5086000000000003E-2"/>
    <n v="106.9"/>
    <n v="-1.1100000000000001"/>
    <s v="(-1.03%)"/>
    <n v="11.357200000000001"/>
    <n v="17011681160"/>
  </r>
  <r>
    <n v="343"/>
    <x v="342"/>
    <s v="VENTAS, INC. (XNYS:VTR)"/>
    <s v="Residential &amp; Commercial REIT"/>
    <n v="5.5035000000000001E-2"/>
    <n v="43.32"/>
    <n v="-1.23"/>
    <s v="(-2.76%)"/>
    <n v="822.40499999999997"/>
    <n v="17855403060"/>
  </r>
  <r>
    <n v="344"/>
    <x v="343"/>
    <s v="QUEST DIAGNOSTICS INCORPORATED (XNYS:DGX)"/>
    <s v="Healthcare Providers &amp; Services"/>
    <n v="5.5007E-2"/>
    <n v="150.19999999999999"/>
    <n v="-1.25"/>
    <s v="(-0.83%)"/>
    <n v="14.9239"/>
    <n v="17115013500"/>
  </r>
  <r>
    <n v="345"/>
    <x v="344"/>
    <s v="THE CLOROX COMPANY (XNYS:CLX)"/>
    <s v="Personal &amp; Household Products &amp; Services"/>
    <n v="5.4941999999999998E-2"/>
    <n v="140.1"/>
    <n v="-4.71"/>
    <s v="(-3.25%)"/>
    <n v="44.290399999999998"/>
    <n v="17609478656"/>
  </r>
  <r>
    <n v="346"/>
    <x v="345"/>
    <s v="PERKINELMER, INC. (XNYS:PKI)"/>
    <s v="Healthcare Equipment &amp; Supplies"/>
    <n v="5.4045999999999997E-2"/>
    <n v="139.47999999999999"/>
    <n v="1.1599999999999999"/>
    <s v="(0.84%)"/>
    <n v="28.436699999999998"/>
    <n v="17621068050"/>
  </r>
  <r>
    <n v="347"/>
    <x v="346"/>
    <s v="INVITATION HOMES INC. (XNYS:INVH)"/>
    <s v="Residential &amp; Commercial REIT"/>
    <n v="5.3775000000000003E-2"/>
    <n v="29.53"/>
    <n v="-0.22"/>
    <s v="(-0.74%)"/>
    <n v="50.742800000000003"/>
    <n v="18042706149"/>
  </r>
  <r>
    <n v="348"/>
    <x v="347"/>
    <s v="MARATHON OIL CORPORATION (XNYS:MRO)"/>
    <s v="Oil &amp; Gas"/>
    <n v="5.3704000000000002E-2"/>
    <n v="27.15"/>
    <n v="0.12"/>
    <s v="(0.44%)"/>
    <n v="5.1976000000000004"/>
    <n v="17235740092"/>
  </r>
  <r>
    <n v="349"/>
    <x v="348"/>
    <s v="ABIOMED, INC. (XNAS:ABMD)"/>
    <s v="Healthcare Equipment &amp; Supplies"/>
    <n v="5.3452E-2"/>
    <n v="380.79"/>
    <n v="-0.51"/>
    <s v="(-0.13%)"/>
    <n v="65.533900000000003"/>
    <n v="17170270432"/>
  </r>
  <r>
    <n v="350"/>
    <x v="349"/>
    <s v="SOLAREDGE TECHNOLOGIES, INC. (XNAS:SEDG)"/>
    <s v="Renewable Energy"/>
    <n v="5.33E-2"/>
    <n v="309.89999999999998"/>
    <n v="0.32"/>
    <s v="(0.10%)"/>
    <n v="152.00970000000001"/>
    <n v="17303940000"/>
  </r>
  <r>
    <n v="351"/>
    <x v="350"/>
    <s v="IDEX CORPORATION (XNYS:IEX)"/>
    <s v="Machinery, Equipment &amp; Components"/>
    <n v="5.3109999999999997E-2"/>
    <n v="228.12"/>
    <n v="1.85"/>
    <s v="(0.82%)"/>
    <n v="29.926400000000001"/>
    <n v="17203555191"/>
  </r>
  <r>
    <n v="352"/>
    <x v="351"/>
    <s v="DARDEN RESTAURANTS, INC. (XNYS:DRI)"/>
    <s v="Hotels &amp; Entertainment Services"/>
    <n v="5.2921000000000003E-2"/>
    <n v="139.72"/>
    <n v="1.27"/>
    <s v="(0.92%)"/>
    <n v="19.069099999999999"/>
    <n v="17103597225"/>
  </r>
  <r>
    <n v="353"/>
    <x v="352"/>
    <s v="WEST PHARMACEUTICAL SERVICES, INC. (XNYS:WST)"/>
    <s v="Healthcare Equipment &amp; Supplies"/>
    <n v="5.2135000000000001E-2"/>
    <n v="227.79"/>
    <n v="-0.44"/>
    <s v="(-0.19%)"/>
    <n v="27.4727"/>
    <n v="16863974792"/>
  </r>
  <r>
    <n v="354"/>
    <x v="353"/>
    <s v="THE J. M. SMUCKER COMPANY (XNYS:SJM)"/>
    <s v="Food &amp; Tobacco"/>
    <n v="5.2117999999999998E-2"/>
    <n v="155.22"/>
    <n v="-0.6"/>
    <s v="(-0.38%)"/>
    <n v="29.1645"/>
    <n v="16561036700"/>
  </r>
  <r>
    <n v="355"/>
    <x v="354"/>
    <s v="Best Buy Co., Inc. (XNYS:BBY)"/>
    <s v="Specialty Retailers"/>
    <n v="5.0202999999999998E-2"/>
    <n v="79.239999999999995"/>
    <n v="-0.56000000000000005"/>
    <s v="(-0.70%)"/>
    <n v="11.927899999999999"/>
    <n v="17656900000"/>
  </r>
  <r>
    <n v="356"/>
    <x v="355"/>
    <s v="CINCINNATI FINANCIAL CORPORATION (XNAS:CINF)"/>
    <s v="Insurance"/>
    <n v="5.0092999999999999E-2"/>
    <n v="102.19"/>
    <n v="1.25"/>
    <s v="(1.24%)"/>
    <n v="32.0244"/>
    <n v="16287690614"/>
  </r>
  <r>
    <n v="357"/>
    <x v="356"/>
    <s v="MONOLITHIC POWER SYSTEMS, INC. (XNAS:MPWR)"/>
    <s v="Semiconductors &amp; Semiconductor Equipment"/>
    <n v="4.9717999999999998E-2"/>
    <n v="357.87"/>
    <n v="-1.1399999999999999"/>
    <s v="(-0.32%)"/>
    <n v="44.310499999999998"/>
    <n v="16799133540"/>
  </r>
  <r>
    <n v="358"/>
    <x v="357"/>
    <s v="BALL CORPORATION (XNYS:BALL)"/>
    <s v="Containers &amp; Packaging"/>
    <n v="4.9590000000000002E-2"/>
    <n v="50.53"/>
    <n v="-0.08"/>
    <s v="(-0.16%)"/>
    <n v="17.298100000000002"/>
    <n v="15890635462"/>
  </r>
  <r>
    <n v="359"/>
    <x v="358"/>
    <s v="ETSY, INC. (XNAS:ETSY)"/>
    <s v="Diversified Retail"/>
    <n v="4.9389000000000002E-2"/>
    <n v="124.82"/>
    <n v="-1.0900000000000001"/>
    <s v="(-0.87%)"/>
    <n v="31.364899999999999"/>
    <n v="15825420000"/>
  </r>
  <r>
    <n v="360"/>
    <x v="359"/>
    <s v="OMNICOM GROUP INC. (XNYS:OMC)"/>
    <s v="Media &amp; Publishing"/>
    <n v="4.9325000000000001E-2"/>
    <n v="75.66"/>
    <n v="-1.65"/>
    <s v="(-2.13%)"/>
    <n v="12.492800000000001"/>
    <n v="15764760000"/>
  </r>
  <r>
    <n v="361"/>
    <x v="360"/>
    <s v="FACTSET RESEARCH SYSTEMS INC. (XNYS:FDS)"/>
    <s v="Professional &amp; Commercial Services"/>
    <n v="4.9112999999999997E-2"/>
    <n v="397"/>
    <n v="-22.9"/>
    <s v="(-5.45%)"/>
    <n v="41.062600000000003"/>
    <n v="15152614549"/>
  </r>
  <r>
    <n v="362"/>
    <x v="361"/>
    <s v="ATMOS ENERGY CORPORATION (XNYS:ATO)"/>
    <s v="Natural Gas Utilities"/>
    <n v="4.9050000000000003E-2"/>
    <n v="113.07"/>
    <n v="-0.41"/>
    <s v="(-0.36%)"/>
    <n v="20.206900000000001"/>
    <n v="16002490000"/>
  </r>
  <r>
    <n v="363"/>
    <x v="362"/>
    <s v="BROADRIDGE FINANCIAL SOLUTIONS, INC. (XNYS:BR)"/>
    <s v="Professional &amp; Commercial Services"/>
    <n v="4.9035000000000002E-2"/>
    <n v="133.41"/>
    <n v="0.2"/>
    <s v="(0.15%)"/>
    <n v="30.245899999999999"/>
    <n v="15672870000"/>
  </r>
  <r>
    <n v="364"/>
    <x v="363"/>
    <s v="FIRST SOLAR, INC. (XNAS:FSLR)"/>
    <s v="Renewable Energy"/>
    <n v="4.8626000000000003E-2"/>
    <n v="156.5"/>
    <n v="-0.27"/>
    <s v="(-0.17%)"/>
    <n v="178.02629999999999"/>
    <n v="16693370904"/>
  </r>
  <r>
    <n v="365"/>
    <x v="364"/>
    <s v="TARGA RESOURCES CORP. (XNYS:TRGP)"/>
    <s v="Oil &amp; Gas Related Equipment and Services"/>
    <n v="4.8625000000000002E-2"/>
    <n v="69.78"/>
    <n v="0.74"/>
    <s v="(1.07%)"/>
    <n v="66.395499999999998"/>
    <n v="15798739166"/>
  </r>
  <r>
    <n v="366"/>
    <x v="365"/>
    <s v="TAKE-TWO INTERACTIVE SOFTWARE, INC. (XNAS:TTWO)"/>
    <s v="Leisure Products"/>
    <n v="4.827E-2"/>
    <n v="96.87"/>
    <n v="-1.72"/>
    <s v="(-1.74%)"/>
    <n v="71.5261"/>
    <n v="16464731901"/>
  </r>
  <r>
    <n v="367"/>
    <x v="366"/>
    <s v="FMC CORPORATION (XNYS:FMC)"/>
    <s v="Chemicals"/>
    <n v="4.8215000000000001E-2"/>
    <n v="120.76"/>
    <n v="-2"/>
    <s v="(-1.63%)"/>
    <n v="21.302299999999999"/>
    <n v="15463580000"/>
  </r>
  <r>
    <n v="368"/>
    <x v="367"/>
    <s v="THE COOPER COMPANIES, INC. (XNYS:COO)"/>
    <s v="Healthcare Equipment &amp; Supplies"/>
    <n v="4.8092999999999997E-2"/>
    <n v="319.89"/>
    <n v="3.63"/>
    <s v="(1.15%)"/>
    <n v="40.750500000000002"/>
    <n v="15795869319"/>
  </r>
  <r>
    <n v="369"/>
    <x v="368"/>
    <s v="THE MOSAIC COMPANY (XNYS:MOS)"/>
    <s v="Chemicals"/>
    <n v="4.7951000000000001E-2"/>
    <n v="45.27"/>
    <n v="0.73"/>
    <s v="(1.64%)"/>
    <n v="4.3543000000000003"/>
    <n v="15165030000"/>
  </r>
  <r>
    <n v="370"/>
    <x v="369"/>
    <s v="KEYCORP (XNYS:KEY)"/>
    <s v="Banking Services"/>
    <n v="4.7946000000000003E-2"/>
    <n v="16.61"/>
    <n v="-0.04"/>
    <s v="(-0.23%)"/>
    <n v="7.625"/>
    <n v="15524614144"/>
  </r>
  <r>
    <n v="371"/>
    <x v="370"/>
    <s v="JACOBS SOLUTIONS INC. (XNYS:J)"/>
    <s v="Construction &amp; Engineering"/>
    <n v="4.7659E-2"/>
    <n v="118.22"/>
    <n v="-0.3"/>
    <s v="(-0.25%)"/>
    <n v="23.781099999999999"/>
    <n v="14965455660"/>
  </r>
  <r>
    <n v="372"/>
    <x v="371"/>
    <s v="LAS VEGAS SANDS CORP. (XNYS:LVS)"/>
    <s v="Hotels &amp; Entertainment Services"/>
    <n v="4.7494000000000001E-2"/>
    <n v="46.38"/>
    <n v="0.02"/>
    <s v="(0.04%)"/>
    <n v="0"/>
    <n v="35442032994"/>
  </r>
  <r>
    <n v="373"/>
    <x v="372"/>
    <s v="PAYCOM SOFTWARE, INC. (XNYS:PAYC)"/>
    <s v="Software &amp; IT Services"/>
    <n v="4.7080999999999998E-2"/>
    <n v="303.82"/>
    <n v="-5.77"/>
    <s v="(-1.86%)"/>
    <n v="71.961200000000005"/>
    <n v="17582145206"/>
  </r>
  <r>
    <n v="374"/>
    <x v="373"/>
    <s v="INCYTE CORPORATION (XNAS:INCY)"/>
    <s v="Pharmaceuticals"/>
    <n v="4.6815000000000002E-2"/>
    <n v="81.069999999999993"/>
    <n v="0.48"/>
    <s v="(0.60%)"/>
    <n v="20.4771"/>
    <n v="18036088785"/>
  </r>
  <r>
    <n v="375"/>
    <x v="374"/>
    <s v="J. B. HUNT TRANSPORT SERVICES, INC. (XNAS:JBHT)"/>
    <s v="Freight &amp; Logistics Services"/>
    <n v="4.6611E-2"/>
    <n v="174.75"/>
    <n v="-4.78"/>
    <s v="(-2.66%)"/>
    <n v="18.7742"/>
    <n v="18223617774"/>
  </r>
  <r>
    <n v="376"/>
    <x v="375"/>
    <s v="SKYWORKS SOLUTIONS, INC. (XNAS:SWKS)"/>
    <s v="Semiconductors &amp; Semiconductor Equipment"/>
    <n v="4.5811999999999999E-2"/>
    <n v="90.26"/>
    <n v="-1.42"/>
    <s v="(-1.55%)"/>
    <n v="11.758900000000001"/>
    <n v="14350434560"/>
  </r>
  <r>
    <n v="377"/>
    <x v="376"/>
    <s v="TEXTRON INC. (XNYS:TXT)"/>
    <s v="Aerospace &amp; Defense"/>
    <n v="4.5678000000000003E-2"/>
    <n v="69.53"/>
    <n v="0.25"/>
    <s v="(0.36%)"/>
    <n v="17.9009"/>
    <n v="14515882395"/>
  </r>
  <r>
    <n v="378"/>
    <x v="377"/>
    <s v="SYNCHRONY FINANCIAL (XNYS:SYF)"/>
    <s v="Banking Services"/>
    <n v="4.5641000000000001E-2"/>
    <n v="32.65"/>
    <n v="0.27"/>
    <s v="(0.83%)"/>
    <n v="5.1224999999999996"/>
    <n v="14705671296"/>
  </r>
  <r>
    <n v="379"/>
    <x v="378"/>
    <s v="W. R. BERKLEY CORPORATION (XNYS:WRB)"/>
    <s v="Insurance"/>
    <n v="4.5504000000000003E-2"/>
    <n v="72.87"/>
    <n v="1.34"/>
    <s v="(1.87%)"/>
    <n v="16.697700000000001"/>
    <n v="19337279124"/>
  </r>
  <r>
    <n v="380"/>
    <x v="379"/>
    <s v="AVERY DENNISON CORPORATION (XNYS:AVY)"/>
    <s v="Containers &amp; Packaging"/>
    <n v="4.5164000000000003E-2"/>
    <n v="178.36"/>
    <n v="1.88"/>
    <s v="(1.07%)"/>
    <n v="17.8386"/>
    <n v="14439203553"/>
  </r>
  <r>
    <n v="381"/>
    <x v="380"/>
    <s v="NVR, Inc. (XNYS:NVR)"/>
    <s v="Homebuilding &amp; Construction Supplies"/>
    <n v="4.5130000000000003E-2"/>
    <n v="4635.55"/>
    <n v="-49.65"/>
    <s v="(-1.06%)"/>
    <n v="10.462999999999999"/>
    <n v="14973370000"/>
  </r>
  <r>
    <n v="382"/>
    <x v="381"/>
    <s v="ALIGN TECHNOLOGY, INC. (XNAS:ALGN)"/>
    <s v="Healthcare Equipment &amp; Supplies"/>
    <n v="4.5094000000000002E-2"/>
    <n v="200.75"/>
    <n v="1.99"/>
    <s v="(1.00%)"/>
    <n v="30.773900000000001"/>
    <n v="15681054262"/>
  </r>
  <r>
    <n v="383"/>
    <x v="382"/>
    <s v="IRON MOUNTAIN INCORPORATED (XNYS:IRM)"/>
    <s v="Residential &amp; Commercial REIT"/>
    <n v="4.5060000000000003E-2"/>
    <n v="48.9"/>
    <n v="-1.31"/>
    <s v="(-2.61%)"/>
    <n v="29.572299999999998"/>
    <n v="14567683551"/>
  </r>
  <r>
    <n v="384"/>
    <x v="383"/>
    <s v="APA CORPORATION (XNAS:APA)"/>
    <s v="Oil &amp; Gas"/>
    <n v="4.4618999999999999E-2"/>
    <n v="44.13"/>
    <n v="0.28999999999999998"/>
    <s v="(0.66%)"/>
    <n v="4.1890999999999998"/>
    <n v="14188315734"/>
  </r>
  <r>
    <n v="385"/>
    <x v="384"/>
    <s v="LEIDOS HOLDINGS, INC. (XNYS:LDOS)"/>
    <s v="Software &amp; IT Services"/>
    <n v="4.4419E-2"/>
    <n v="104.51"/>
    <n v="0.06"/>
    <s v="(0.06%)"/>
    <n v="21.404499999999999"/>
    <n v="14277220000"/>
  </r>
  <r>
    <n v="386"/>
    <x v="385"/>
    <s v="Evergy, Inc. (XNYS:EVRG)"/>
    <s v="Electrical Utilities &amp; IPPs"/>
    <n v="4.3602000000000002E-2"/>
    <n v="62.01"/>
    <n v="0.32"/>
    <s v="(0.52%)"/>
    <n v="17.804300000000001"/>
    <n v="14233552164"/>
  </r>
  <r>
    <n v="387"/>
    <x v="386"/>
    <s v="Garmin Ltd (XNYS:GRMN)"/>
    <s v="Communications &amp; Networking"/>
    <n v="4.3429000000000002E-2"/>
    <n v="90.37"/>
    <n v="7.0000000000000007E-2"/>
    <s v="(0.08%)"/>
    <n v="18.066600000000001"/>
    <n v="17326416560"/>
  </r>
  <r>
    <n v="388"/>
    <x v="387"/>
    <s v="HOWMET AEROSPACE INC. (XNYS:HWM)"/>
    <s v="Aerospace &amp; Defense"/>
    <n v="4.3270000000000003E-2"/>
    <n v="38.270000000000003"/>
    <n v="0.69"/>
    <s v="(1.84%)"/>
    <n v="36.503500000000003"/>
    <n v="15832758240"/>
  </r>
  <r>
    <n v="389"/>
    <x v="388"/>
    <s v="TERADYNE, INC. (XNAS:TER)"/>
    <s v="Semiconductors &amp; Semiconductor Equipment"/>
    <n v="4.3219E-2"/>
    <n v="87.79"/>
    <n v="-0.61"/>
    <s v="(-0.69%)"/>
    <n v="19.924299999999999"/>
    <n v="13673828019"/>
  </r>
  <r>
    <n v="390"/>
    <x v="389"/>
    <s v="LKQ CORPORATION (XNAS:LKQ)"/>
    <s v="Automobiles &amp; Auto Parts"/>
    <n v="4.2849999999999999E-2"/>
    <n v="52.98"/>
    <n v="0.25"/>
    <s v="(0.47%)"/>
    <n v="12.5875"/>
    <n v="14154931500"/>
  </r>
  <r>
    <n v="391"/>
    <x v="390"/>
    <s v="ALLIANT ENERGY CORPORATION (XNAS:LNT)"/>
    <s v="Electrical Utilities &amp; IPPs"/>
    <n v="4.1967999999999998E-2"/>
    <n v="54.15"/>
    <n v="-0.14000000000000001"/>
    <s v="(-0.26%)"/>
    <n v="20.468599999999999"/>
    <n v="13627980000"/>
  </r>
  <r>
    <n v="392"/>
    <x v="391"/>
    <s v="ESSEX PROPERTY TRUST, INC. (XNYS:ESS)"/>
    <s v="Residential &amp; Commercial REIT"/>
    <n v="4.1908000000000001E-2"/>
    <n v="207"/>
    <n v="-1.57"/>
    <s v="(-0.75%)"/>
    <n v="37.768999999999998"/>
    <n v="13421522198"/>
  </r>
  <r>
    <n v="393"/>
    <x v="392"/>
    <s v="FLEETCOR TECHNOLOGIES, INC. (XNYS:FLT)"/>
    <s v="Professional &amp; Commercial Services"/>
    <n v="4.1832000000000001E-2"/>
    <n v="179.03"/>
    <n v="7.0000000000000007E-2"/>
    <s v="(0.04%)"/>
    <n v="14.7234"/>
    <n v="13202409963"/>
  </r>
  <r>
    <n v="394"/>
    <x v="393"/>
    <s v="TYLER TECHNOLOGIES, INC. (XNYS:TYL)"/>
    <s v="Software &amp; IT Services"/>
    <n v="4.1695999999999997E-2"/>
    <n v="319.25"/>
    <n v="-0.8"/>
    <s v="(-0.25%)"/>
    <n v="72.260199999999998"/>
    <n v="13294370873"/>
  </r>
  <r>
    <n v="395"/>
    <x v="394"/>
    <s v="AKAMAI TECHNOLOGIES, INC. (XNAS:AKAM)"/>
    <s v="Software &amp; IT Services"/>
    <n v="4.1623E-2"/>
    <n v="84.5"/>
    <n v="0.43"/>
    <s v="(0.51%)"/>
    <n v="26.940300000000001"/>
    <n v="13286974350"/>
  </r>
  <r>
    <n v="396"/>
    <x v="395"/>
    <s v="HEALTHPEAK PROPERTIES, INC. (XNYS:PEAK)"/>
    <s v="Residential &amp; Commercial REIT"/>
    <n v="4.1452999999999997E-2"/>
    <n v="24.74"/>
    <n v="-0.16"/>
    <s v="(-0.64%)"/>
    <n v="26.359500000000001"/>
    <n v="13301432249"/>
  </r>
  <r>
    <n v="397"/>
    <x v="396"/>
    <s v="EQT CORPORATION (XNYS:EQT)"/>
    <s v="Oil &amp; Gas"/>
    <n v="4.1095E-2"/>
    <n v="35.86"/>
    <n v="-0.25"/>
    <s v="(-0.69%)"/>
    <n v="7.8571999999999997"/>
    <n v="13257701520"/>
  </r>
  <r>
    <n v="398"/>
    <x v="397"/>
    <s v="HORMEL FOODS CORPORATION (XNYS:HRL)"/>
    <s v="Food &amp; Tobacco"/>
    <n v="4.1041000000000001E-2"/>
    <n v="45.24"/>
    <n v="-0.25"/>
    <s v="(-0.55%)"/>
    <n v="25.000800000000002"/>
    <n v="24725695050"/>
  </r>
  <r>
    <n v="399"/>
    <x v="398"/>
    <s v="NETAPP, INC. (XNAS:NTAP)"/>
    <s v="Computers, Phones &amp; Household Electronics"/>
    <n v="4.0968999999999998E-2"/>
    <n v="59.38"/>
    <n v="0.19"/>
    <s v="(0.32%)"/>
    <n v="8.9738000000000007"/>
    <n v="12820150098"/>
  </r>
  <r>
    <n v="400"/>
    <x v="399"/>
    <s v="VIATRIS INC. (XNAS:VTRS)"/>
    <s v="Pharmaceuticals"/>
    <n v="4.0745999999999997E-2"/>
    <n v="10.76"/>
    <n v="-0.15"/>
    <s v="(-1.37%)"/>
    <n v="16.537299999999998"/>
    <n v="13024236900"/>
  </r>
  <r>
    <n v="401"/>
    <x v="400"/>
    <s v="Cboe Global Markets, Inc. (BATS:CBOE)"/>
    <s v="Investment Banking &amp; Investment Services"/>
    <n v="4.0598000000000002E-2"/>
    <n v="123.18"/>
    <n v="-0.08"/>
    <s v="(-0.06%)"/>
    <n v="62.533999999999999"/>
    <n v="13030076626"/>
  </r>
  <r>
    <n v="402"/>
    <x v="401"/>
    <s v="KIMCO REALTY CORPORATION (XNYS:KIM)"/>
    <s v="Residential &amp; Commercial REIT"/>
    <n v="4.0111000000000001E-2"/>
    <n v="20.92"/>
    <n v="-0.06"/>
    <s v="(-0.29%)"/>
    <n v="55.6646"/>
    <n v="12932015328"/>
  </r>
  <r>
    <n v="403"/>
    <x v="402"/>
    <s v="PTC INC. (XNAS:PTC)"/>
    <s v="Software &amp; IT Services"/>
    <n v="4.0085999999999997E-2"/>
    <n v="122.19"/>
    <n v="-0.31"/>
    <s v="(-0.25%)"/>
    <n v="46.265500000000003"/>
    <n v="14353903680"/>
  </r>
  <r>
    <n v="404"/>
    <x v="403"/>
    <s v="BROWN &amp; BROWN, INC. (XNYS:BRO)"/>
    <s v="Insurance"/>
    <n v="4.0009000000000003E-2"/>
    <n v="54.29"/>
    <n v="-1.1200000000000001"/>
    <s v="(-2.02%)"/>
    <n v="25.037500000000001"/>
    <n v="15730172096"/>
  </r>
  <r>
    <n v="405"/>
    <x v="404"/>
    <s v="JACK HENRY &amp; ASSOCIATES, INC. (XNAS:JKHY)"/>
    <s v="Software &amp; IT Services"/>
    <n v="3.9967999999999997E-2"/>
    <n v="176.26"/>
    <n v="0.89"/>
    <s v="(0.51%)"/>
    <n v="34.966000000000001"/>
    <n v="12873385912"/>
  </r>
  <r>
    <n v="406"/>
    <x v="405"/>
    <s v="DOMINO'S PIZZA, INC. (XNYS:DPZ)"/>
    <s v="Hotels &amp; Entertainment Services"/>
    <n v="3.9836999999999997E-2"/>
    <n v="353.73"/>
    <n v="-2.6"/>
    <s v="(-0.73%)"/>
    <n v="28.870999999999999"/>
    <n v="12520760706"/>
  </r>
  <r>
    <n v="407"/>
    <x v="406"/>
    <s v="EXPEDIA GROUP, INC. (XNAS:EXPE)"/>
    <s v="Hotels &amp; Entertainment Services"/>
    <n v="3.9718000000000003E-2"/>
    <n v="85.61"/>
    <n v="0.35"/>
    <s v="(0.41%)"/>
    <n v="20.3583"/>
    <n v="13362941949"/>
  </r>
  <r>
    <n v="408"/>
    <x v="407"/>
    <s v="EVEREST RE GROUP, LTD. (XNYS:RE)"/>
    <s v="Insurance"/>
    <n v="3.9666E-2"/>
    <n v="325.2"/>
    <n v="2.82"/>
    <s v="(0.87%)"/>
    <n v="24.0656"/>
    <n v="12811272963"/>
  </r>
  <r>
    <n v="409"/>
    <x v="408"/>
    <s v="INTERNATIONAL PAPER COMPANY (XNYS:IP)"/>
    <s v="Containers &amp; Packaging"/>
    <n v="3.9371999999999997E-2"/>
    <n v="34.5"/>
    <n v="-0.42"/>
    <s v="(-1.20%)"/>
    <n v="6.6341999999999999"/>
    <n v="12323965500"/>
  </r>
  <r>
    <n v="410"/>
    <x v="409"/>
    <s v="ZEBRA TECHNOLOGIES CORPORATION (XNAS:ZBRA)"/>
    <s v="Electronic Equipment &amp; Parts"/>
    <n v="3.9343000000000003E-2"/>
    <n v="246.65"/>
    <n v="2.94"/>
    <s v="(1.21%)"/>
    <n v="27.8188"/>
    <n v="12760305070"/>
  </r>
  <r>
    <n v="411"/>
    <x v="410"/>
    <s v="NORDSON CORPORATION (XNAS:NDSN)"/>
    <s v="Machinery, Equipment &amp; Components"/>
    <n v="3.9255999999999999E-2"/>
    <n v="232.77"/>
    <n v="-0.63"/>
    <s v="(-0.27%)"/>
    <n v="26.480399999999999"/>
    <n v="13316934639"/>
  </r>
  <r>
    <n v="412"/>
    <x v="411"/>
    <s v="THE INTERPUBLIC GROUP OF COMPANIES, INC. (XNYS:IPG)"/>
    <s v="Media &amp; Publishing"/>
    <n v="3.9107999999999997E-2"/>
    <n v="32.44"/>
    <n v="0.27"/>
    <s v="(0.84%)"/>
    <n v="12.7896"/>
    <n v="12630937997"/>
  </r>
  <r>
    <n v="413"/>
    <x v="412"/>
    <s v="LAMB WESTON HOLDINGS, INC. (XNYS:LW)"/>
    <s v="Food &amp; Tobacco"/>
    <n v="3.9021E-2"/>
    <n v="87.75"/>
    <n v="0.64"/>
    <s v="(0.73%)"/>
    <n v="31.343299999999999"/>
    <n v="12621187800"/>
  </r>
  <r>
    <n v="414"/>
    <x v="413"/>
    <s v="UNITED AIRLINES HOLDINGS, INC. (XNAS:UAL)"/>
    <s v="Passenger Transportation Services"/>
    <n v="3.8844999999999998E-2"/>
    <n v="38.49"/>
    <n v="0.51"/>
    <s v="(1.34%)"/>
    <n v="8.7719000000000005"/>
    <n v="12603066690"/>
  </r>
  <r>
    <n v="415"/>
    <x v="414"/>
    <s v="BIO-TECHNE CORPORATION (XNAS:TECH)"/>
    <s v="Biotechnology &amp; Medical Research"/>
    <n v="3.8827E-2"/>
    <n v="80.5"/>
    <n v="-0.28999999999999998"/>
    <s v="(-0.36%)"/>
    <n v="45.268599999999999"/>
    <n v="12719238585"/>
  </r>
  <r>
    <n v="416"/>
    <x v="415"/>
    <s v="GEN DIGITAL INC. (XNAS:GEN)"/>
    <s v="Software &amp; IT Services"/>
    <n v="3.8767000000000003E-2"/>
    <n v="21.49"/>
    <n v="-0.09"/>
    <s v="(-0.42%)"/>
    <n v="21.755299999999998"/>
    <n v="14303099299"/>
  </r>
  <r>
    <n v="417"/>
    <x v="416"/>
    <s v="TRIMBLE INC. (XNAS:TRMB)"/>
    <s v="Software &amp; IT Services"/>
    <n v="3.8494E-2"/>
    <n v="49.15"/>
    <n v="-0.41"/>
    <s v="(-0.83%)"/>
    <n v="26.021899999999999"/>
    <n v="12121604005"/>
  </r>
  <r>
    <n v="418"/>
    <x v="417"/>
    <s v="POOL CORPORATION (XNAS:POOL)"/>
    <s v="Leisure Products"/>
    <n v="3.8123999999999998E-2"/>
    <n v="303.51"/>
    <n v="-4.63"/>
    <s v="(-1.50%)"/>
    <n v="15.7553"/>
    <n v="11862406837"/>
  </r>
  <r>
    <n v="419"/>
    <x v="418"/>
    <s v="SVB FINANCIAL GROUP (XNAS:SIVB)"/>
    <s v="Banking Services"/>
    <n v="3.8099000000000001E-2"/>
    <n v="211.84"/>
    <n v="1.45"/>
    <s v="(0.69%)"/>
    <n v="7.8097000000000003"/>
    <n v="12557261335"/>
  </r>
  <r>
    <n v="420"/>
    <x v="419"/>
    <s v="PACKAGING CORPORATION OF AMERICA (XNYS:PKG)"/>
    <s v="Containers &amp; Packaging"/>
    <n v="3.7740999999999997E-2"/>
    <n v="127.9"/>
    <n v="-0.71"/>
    <s v="(-0.55%)"/>
    <n v="11.7112"/>
    <n v="11835159992"/>
  </r>
  <r>
    <n v="421"/>
    <x v="420"/>
    <s v="SNAP-ON INCORPORATED (XNYS:SNA)"/>
    <s v="Machinery, Equipment &amp; Components"/>
    <n v="3.7356E-2"/>
    <n v="224.47"/>
    <n v="0.34"/>
    <s v="(0.15%)"/>
    <n v="13.5809"/>
    <n v="11942252968"/>
  </r>
  <r>
    <n v="422"/>
    <x v="421"/>
    <s v="BROWN-FORMAN CORPORATION (XNYS:BF.B)"/>
    <s v="Beverages"/>
    <n v="3.6935000000000003E-2"/>
    <n v="65.099999999999994"/>
    <n v="-0.36"/>
    <s v="(-0.55%)"/>
    <n v="35.493499999999997"/>
    <n v="31380400000"/>
  </r>
  <r>
    <n v="423"/>
    <x v="422"/>
    <s v="HOST HOTELS &amp; RESORTS, INC. (XNAS:HST)"/>
    <s v="Residential &amp; Commercial REIT"/>
    <n v="3.6835E-2"/>
    <n v="16.91"/>
    <n v="0.13"/>
    <s v="(0.77%)"/>
    <n v="14.9217"/>
    <n v="12091120098"/>
  </r>
  <r>
    <n v="424"/>
    <x v="423"/>
    <s v="UDR, INC. (XNYS:UDR)"/>
    <s v="Residential &amp; Commercial REIT"/>
    <n v="3.6811000000000003E-2"/>
    <n v="38.01"/>
    <n v="-0.44"/>
    <s v="(-1.14%)"/>
    <n v="77.865499999999997"/>
    <n v="12364077563"/>
  </r>
  <r>
    <n v="425"/>
    <x v="424"/>
    <s v="CAMDEN PROPERTY TRUST (XNYS:CPT)"/>
    <s v="Residential &amp; Commercial REIT"/>
    <n v="3.6547000000000003E-2"/>
    <n v="108.27"/>
    <n v="-2.12"/>
    <s v="(-1.92%)"/>
    <n v="14.597300000000001"/>
    <n v="11689317440"/>
  </r>
  <r>
    <n v="426"/>
    <x v="425"/>
    <s v="C.H. ROBINSON WORLDWIDE, INC. (XNAS:CHRW)"/>
    <s v="Freight &amp; Logistics Services"/>
    <n v="3.6117000000000003E-2"/>
    <n v="91.65"/>
    <n v="-1.86"/>
    <s v="(-1.99%)"/>
    <n v="11.342599999999999"/>
    <n v="11007010000"/>
  </r>
  <r>
    <n v="427"/>
    <x v="426"/>
    <s v="CAMPBELL SOUP COMPANY (XNYS:CPB)"/>
    <s v="Food &amp; Tobacco"/>
    <n v="3.5865000000000001E-2"/>
    <n v="55.6"/>
    <n v="-1.23"/>
    <s v="(-2.16%)"/>
    <n v="21.608599999999999"/>
    <n v="16822592430"/>
  </r>
  <r>
    <n v="428"/>
    <x v="427"/>
    <s v="MATCH GROUP, INC. (XNAS:MTCH)"/>
    <s v="Software &amp; IT Services"/>
    <n v="3.5361999999999998E-2"/>
    <n v="41.27"/>
    <n v="0.9"/>
    <s v="(2.23%)"/>
    <n v="106.76220000000001"/>
    <n v="11177830122"/>
  </r>
  <r>
    <n v="429"/>
    <x v="428"/>
    <s v="ROYAL CARIBBEAN CRUISES LTD. (XNYS:RCL)"/>
    <s v="Hotels &amp; Entertainment Services"/>
    <n v="3.5152999999999997E-2"/>
    <n v="50.97"/>
    <n v="-0.5"/>
    <s v="(-0.97%)"/>
    <n v="0"/>
    <n v="12979832430"/>
  </r>
  <r>
    <n v="430"/>
    <x v="429"/>
    <s v="TELEFLEX INCORPORATED (XNYS:TFX)"/>
    <s v="Healthcare Equipment &amp; Supplies"/>
    <n v="3.5143000000000001E-2"/>
    <n v="235.43"/>
    <n v="-7.92"/>
    <s v="(-3.25%)"/>
    <n v="27.953900000000001"/>
    <n v="11384192988"/>
  </r>
  <r>
    <n v="431"/>
    <x v="430"/>
    <s v="MGM RESORTS INTERNATIONAL (XNYS:MGM)"/>
    <s v="Hotels &amp; Entertainment Services"/>
    <n v="3.4811000000000002E-2"/>
    <n v="34.29"/>
    <n v="7.0000000000000007E-2"/>
    <s v="(0.20%)"/>
    <n v="11.6997"/>
    <n v="13141170000"/>
  </r>
  <r>
    <n v="432"/>
    <x v="431"/>
    <s v="HENRY SCHEIN, INC. (XNAS:HSIC)"/>
    <s v="Healthcare Equipment &amp; Supplies"/>
    <n v="3.4796000000000001E-2"/>
    <n v="80.569999999999993"/>
    <n v="-0.12"/>
    <s v="(-0.15%)"/>
    <n v="17.564900000000002"/>
    <n v="10937330000"/>
  </r>
  <r>
    <n v="433"/>
    <x v="432"/>
    <s v="STANLEY BLACK &amp; DECKER, INC. (XNYS:SWK)"/>
    <s v="Machinery, Equipment &amp; Components"/>
    <n v="3.4424999999999997E-2"/>
    <n v="73.86"/>
    <n v="-0.93"/>
    <s v="(-1.24%)"/>
    <n v="21.631900000000002"/>
    <n v="11046814206"/>
  </r>
  <r>
    <n v="434"/>
    <x v="433"/>
    <s v="NISOURCE INC. (XNYS:NI)"/>
    <s v="Multiline Utilities"/>
    <n v="3.4114999999999999E-2"/>
    <n v="27.07"/>
    <n v="0.02"/>
    <s v="(0.07%)"/>
    <n v="17.571300000000001"/>
    <n v="10994055501"/>
  </r>
  <r>
    <n v="435"/>
    <x v="434"/>
    <s v="CHARLES RIVER LABORATORIES INTERNATIONAL, INC. (XNYS:CRL)"/>
    <s v="Biotechnology &amp; Medical Research"/>
    <n v="3.3606999999999998E-2"/>
    <n v="213.01"/>
    <n v="-3.52"/>
    <s v="(-1.63%)"/>
    <n v="25.502500000000001"/>
    <n v="10835119433"/>
  </r>
  <r>
    <n v="436"/>
    <x v="435"/>
    <s v="LOEWS CORPORATION (XNYS:L)"/>
    <s v="Insurance"/>
    <n v="3.3424000000000002E-2"/>
    <n v="54.77"/>
    <n v="-0.18"/>
    <s v="(-0.32%)"/>
    <n v="13.7699"/>
    <n v="13046620000"/>
  </r>
  <r>
    <n v="437"/>
    <x v="436"/>
    <s v="GLOBE LIFE INC. (XNYS:GL)"/>
    <s v="Insurance"/>
    <n v="3.3257000000000002E-2"/>
    <n v="118.19"/>
    <n v="0.33"/>
    <s v="(0.28%)"/>
    <n v="16.6281"/>
    <n v="11503177399"/>
  </r>
  <r>
    <n v="438"/>
    <x v="437"/>
    <s v="MASCO CORPORATION (XNYS:MAS)"/>
    <s v="Homebuilding &amp; Construction Supplies"/>
    <n v="3.3021000000000002E-2"/>
    <n v="46.53"/>
    <n v="-0.43"/>
    <s v="(-0.92%)"/>
    <n v="12.8759"/>
    <n v="10493869023"/>
  </r>
  <r>
    <n v="439"/>
    <x v="438"/>
    <s v="PULTEGROUP, INC. (XNYS:PHM)"/>
    <s v="Homebuilding &amp; Construction Supplies"/>
    <n v="3.2503999999999998E-2"/>
    <n v="44.78"/>
    <n v="-0.3"/>
    <s v="(-0.67%)"/>
    <n v="4.5511999999999997"/>
    <n v="10201766166"/>
  </r>
  <r>
    <n v="440"/>
    <x v="439"/>
    <s v="MARKETAXESS HOLDINGS INC. (XNAS:MKTX)"/>
    <s v="Investment Banking &amp; Investment Services"/>
    <n v="3.1838999999999999E-2"/>
    <n v="266.64999999999998"/>
    <n v="-4.83"/>
    <s v="(-1.78%)"/>
    <n v="42.141100000000002"/>
    <n v="10217640000"/>
  </r>
  <r>
    <n v="441"/>
    <x v="440"/>
    <s v="JUNIPER NETWORKS, INC. (XNYS:JNPR)"/>
    <s v="Communications &amp; Networking"/>
    <n v="3.1799000000000001E-2"/>
    <n v="31.78"/>
    <n v="0.11"/>
    <s v="(0.35%)"/>
    <n v="24.678000000000001"/>
    <n v="10314373790"/>
  </r>
  <r>
    <n v="442"/>
    <x v="441"/>
    <s v="CELANESE CORPORATION (XNYS:CE)"/>
    <s v="Chemicals"/>
    <n v="3.1379999999999998E-2"/>
    <n v="101.39"/>
    <n v="0.41"/>
    <s v="(0.41%)"/>
    <n v="6.6468999999999996"/>
    <n v="10995693621"/>
  </r>
  <r>
    <n v="443"/>
    <x v="442"/>
    <s v="SEAGATE TECHNOLOGY HOLDINGS PUBLIC LIMITED COMPANY (XNAS:STX)"/>
    <s v="Computers, Phones &amp; Household Electronics"/>
    <n v="3.1009999999999999E-2"/>
    <n v="51.01"/>
    <n v="0.02"/>
    <s v="(0.03%)"/>
    <n v="9.6908999999999992"/>
    <n v="10527110000"/>
  </r>
  <r>
    <n v="444"/>
    <x v="443"/>
    <s v="EASTMAN CHEMICAL COMPANY (XNYS:EMN)"/>
    <s v="Chemicals"/>
    <n v="3.0904999999999998E-2"/>
    <n v="80.92"/>
    <n v="0.21"/>
    <s v="(0.26%)"/>
    <n v="8.8964999999999996"/>
    <n v="9710223120"/>
  </r>
  <r>
    <n v="445"/>
    <x v="444"/>
    <s v="WESTERN DIGITAL CORPORATION (XNAS:WDC)"/>
    <s v="Computers, Phones &amp; Household Electronics"/>
    <n v="3.0609999999999998E-2"/>
    <n v="32.08"/>
    <n v="0.52"/>
    <s v="(1.65%)"/>
    <n v="10.8574"/>
    <n v="10190221624"/>
  </r>
  <r>
    <n v="446"/>
    <x v="445"/>
    <s v="LIVE NATION ENTERTAINMENT, INC. (XNYS:LYV)"/>
    <s v="Media &amp; Publishing"/>
    <n v="3.0290999999999998E-2"/>
    <n v="68.680000000000007"/>
    <n v="0.28999999999999998"/>
    <s v="(0.42%)"/>
    <n v="99.590800000000002"/>
    <n v="15859140331"/>
  </r>
  <r>
    <n v="447"/>
    <x v="446"/>
    <s v="MOLSON COORS BEVERAGE COMPANY (XNYS:TAP)"/>
    <s v="Beverages"/>
    <n v="3.0269000000000001E-2"/>
    <n v="50.71"/>
    <n v="-0.98"/>
    <s v="(-1.89%)"/>
    <n v="22.6995"/>
    <n v="10553520000"/>
  </r>
  <r>
    <n v="448"/>
    <x v="447"/>
    <s v="BORGWARNER INC. (XNYS:BWA)"/>
    <s v="Automobiles &amp; Auto Parts"/>
    <n v="3.0190000000000002E-2"/>
    <n v="40.46"/>
    <n v="-0.16"/>
    <s v="(-0.39%)"/>
    <n v="11.806800000000001"/>
    <n v="9473866794"/>
  </r>
  <r>
    <n v="449"/>
    <x v="448"/>
    <s v="CERIDIAN HCM HOLDING INC. (XNYS:CDAY)"/>
    <s v="Software &amp; IT Services"/>
    <n v="3.0134000000000001E-2"/>
    <n v="62.94"/>
    <n v="-0.2"/>
    <s v="(-0.32%)"/>
    <n v="0"/>
    <n v="9670334904"/>
  </r>
  <r>
    <n v="450"/>
    <x v="449"/>
    <s v="QORVO, INC. (XNAS:QRVO)"/>
    <s v="Semiconductors &amp; Semiconductor Equipment"/>
    <n v="2.9936999999999998E-2"/>
    <n v="90.83"/>
    <n v="-2.19"/>
    <s v="(-2.35%)"/>
    <n v="14.6053"/>
    <n v="9209208285"/>
  </r>
  <r>
    <n v="451"/>
    <x v="450"/>
    <s v="CAESARS ENTERTAINMENT, INC. (XNAS:CZR)"/>
    <s v="Hotels &amp; Entertainment Services"/>
    <n v="2.9850999999999999E-2"/>
    <n v="45.05"/>
    <n v="0.01"/>
    <s v="(0.02%)"/>
    <n v="20.490400000000001"/>
    <n v="9664057144"/>
  </r>
  <r>
    <n v="452"/>
    <x v="451"/>
    <s v="REGENCY CENTERS CORPORATION (XNAS:REG)"/>
    <s v="Residential &amp; Commercial REIT"/>
    <n v="2.9427999999999999E-2"/>
    <n v="61.67"/>
    <n v="-0.66"/>
    <s v="(-1.06%)"/>
    <n v="23.516400000000001"/>
    <n v="10553136909"/>
  </r>
  <r>
    <n v="453"/>
    <x v="452"/>
    <s v="CARMAX, INC. (XNYS:KMX)"/>
    <s v="Specialty Retailers"/>
    <n v="2.9214E-2"/>
    <n v="57.35"/>
    <n v="-0.74"/>
    <s v="(-1.27%)"/>
    <n v="11.7247"/>
    <n v="9128555435"/>
  </r>
  <r>
    <n v="454"/>
    <x v="453"/>
    <s v="BOSTON PROPERTIES, INC. (XNYS:BXP)"/>
    <s v="Residential &amp; Commercial REIT"/>
    <n v="2.9183000000000001E-2"/>
    <n v="66.88"/>
    <n v="0.36"/>
    <s v="(0.54%)"/>
    <n v="11.468299999999999"/>
    <n v="10497862259"/>
  </r>
  <r>
    <n v="455"/>
    <x v="454"/>
    <s v="ALLEGION PUBLIC LIMITED COMPANY (XNYS:ALLE)"/>
    <s v="Communications &amp; Networking"/>
    <n v="2.8961000000000001E-2"/>
    <n v="104.48"/>
    <n v="-0.09"/>
    <s v="(-0.09%)"/>
    <n v="21.303000000000001"/>
    <n v="9176269897"/>
  </r>
  <r>
    <n v="456"/>
    <x v="455"/>
    <s v="BATH &amp; BODY WORKS, INC. (XNYS:BBWI)"/>
    <s v="Specialty Retailers"/>
    <n v="2.8681000000000002E-2"/>
    <n v="40.299999999999997"/>
    <n v="-0.04"/>
    <s v="(-0.10%)"/>
    <n v="10.552099999999999"/>
    <n v="9205108380"/>
  </r>
  <r>
    <n v="457"/>
    <x v="456"/>
    <s v="HUNTINGTON INGALLS INDUSTRIES, INC. (XNYS:HII)"/>
    <s v="Aerospace &amp; Defense"/>
    <n v="2.8466000000000002E-2"/>
    <n v="228.8"/>
    <n v="-0.77"/>
    <s v="(-0.34%)"/>
    <n v="15.989000000000001"/>
    <n v="9130328987"/>
  </r>
  <r>
    <n v="458"/>
    <x v="457"/>
    <s v="TAPESTRY, INC. (XNYS:TPR)"/>
    <s v="Specialty Retailers"/>
    <n v="2.8208E-2"/>
    <n v="35.93"/>
    <n v="-0.01"/>
    <s v="(-0.03%)"/>
    <n v="11.418799999999999"/>
    <n v="8657739509"/>
  </r>
  <r>
    <n v="459"/>
    <x v="458"/>
    <s v="FOX CORPORATION (XNAS:FOXA)"/>
    <s v="Media &amp; Publishing"/>
    <n v="2.8187E-2"/>
    <n v="29.95"/>
    <n v="0.46"/>
    <s v="(1.56%)"/>
    <n v="14.811999999999999"/>
    <n v="15557230000"/>
  </r>
  <r>
    <n v="460"/>
    <x v="459"/>
    <s v="UNIVERSAL HEALTH SERVICES, INC. (XNYS:UHS)"/>
    <s v="Healthcare Providers &amp; Services"/>
    <n v="2.8041E-2"/>
    <n v="135.59"/>
    <n v="1.0900000000000001"/>
    <s v="(0.81%)"/>
    <n v="13.8413"/>
    <n v="9604214000"/>
  </r>
  <r>
    <n v="461"/>
    <x v="460"/>
    <s v="WESTROCK COMPANY (XNYS:WRK)"/>
    <s v="Containers &amp; Packaging"/>
    <n v="2.7564000000000002E-2"/>
    <n v="34.78"/>
    <n v="-0.02"/>
    <s v="(-0.06%)"/>
    <n v="9.5469000000000008"/>
    <n v="8844503975"/>
  </r>
  <r>
    <n v="462"/>
    <x v="461"/>
    <s v="PINNACLE WEST CAPITAL CORPORATION (XNYS:PNW)"/>
    <s v="Electrical Utilities &amp; IPPs"/>
    <n v="2.7085999999999999E-2"/>
    <n v="77.010000000000005"/>
    <n v="-0.27"/>
    <s v="(-0.35%)"/>
    <n v="17.580300000000001"/>
    <n v="8711229699"/>
  </r>
  <r>
    <n v="463"/>
    <x v="462"/>
    <s v="ROLLINS, INC. (XNYS:ROL)"/>
    <s v="Professional &amp; Commercial Services"/>
    <n v="2.6749999999999999E-2"/>
    <n v="36.11"/>
    <n v="-0.83"/>
    <s v="(-2.24%)"/>
    <n v="52.6083"/>
    <n v="18283037850"/>
  </r>
  <r>
    <n v="464"/>
    <x v="463"/>
    <s v="BIO-RAD LABORATORIES, INC. (XNYS:BIO)"/>
    <s v="Healthcare Equipment &amp; Supplies"/>
    <n v="2.6693000000000001E-2"/>
    <n v="400.8"/>
    <n v="-1.02"/>
    <s v="(-0.25%)"/>
    <n v="2.4802"/>
    <n v="11998340000"/>
  </r>
  <r>
    <n v="465"/>
    <x v="464"/>
    <s v="WYNN RESORTS, LIMITED (XNAS:WYNN)"/>
    <s v="Hotels &amp; Entertainment Services"/>
    <n v="2.6679000000000001E-2"/>
    <n v="82.57"/>
    <n v="1.01"/>
    <s v="(1.24%)"/>
    <n v="69.583200000000005"/>
    <n v="9356303952"/>
  </r>
  <r>
    <n v="466"/>
    <x v="465"/>
    <s v="PARAMOUNT GLOBAL (XNAS:PARA)"/>
    <s v="Media &amp; Publishing"/>
    <n v="2.6636E-2"/>
    <n v="16.88"/>
    <n v="-0.04"/>
    <s v="(-0.24%)"/>
    <n v="3.5851999999999999"/>
    <n v="11100850000"/>
  </r>
  <r>
    <n v="467"/>
    <x v="466"/>
    <s v="ADVANCE AUTO PARTS, INC. (XNYS:AAP)"/>
    <s v="Specialty Retailers"/>
    <n v="2.6608E-2"/>
    <n v="139.38"/>
    <n v="-1.52"/>
    <s v="(-1.08%)"/>
    <n v="18.075299999999999"/>
    <n v="8259376030"/>
  </r>
  <r>
    <n v="468"/>
    <x v="467"/>
    <s v="F5, INC. (XNAS:FFIV)"/>
    <s v="Software &amp; IT Services"/>
    <n v="2.6284999999999999E-2"/>
    <n v="142.97"/>
    <n v="1.25"/>
    <s v="(0.88%)"/>
    <n v="26.834700000000002"/>
    <n v="8630900171"/>
  </r>
  <r>
    <n v="469"/>
    <x v="468"/>
    <s v="COMERICA INCORPORATED (XNYS:CMA)"/>
    <s v="Banking Services"/>
    <n v="2.6067E-2"/>
    <n v="62.25"/>
    <n v="-1.27"/>
    <s v="(-2.00%)"/>
    <n v="8.4137000000000004"/>
    <n v="8329882164"/>
  </r>
  <r>
    <n v="470"/>
    <x v="469"/>
    <s v="V.F. CORPORATION (XNYS:VFC)"/>
    <s v="Textiles &amp; Apparel"/>
    <n v="2.6053E-2"/>
    <n v="25.7"/>
    <n v="-0.35"/>
    <s v="(-1.34%)"/>
    <n v="24.206"/>
    <n v="9780208737"/>
  </r>
  <r>
    <n v="471"/>
    <x v="470"/>
    <s v="INVESCO LTD. (XNYS:IVZ)"/>
    <s v="Investment Banking &amp; Investment Services"/>
    <n v="2.5668E-2"/>
    <n v="17.760000000000002"/>
    <n v="-0.34"/>
    <s v="(-1.88%)"/>
    <n v="9.0607000000000006"/>
    <n v="8190948000"/>
  </r>
  <r>
    <n v="472"/>
    <x v="471"/>
    <s v="AMERICAN AIRLINES GROUP INC. (XNAS:AAL)"/>
    <s v="Passenger Transportation Services"/>
    <n v="2.4930999999999998E-2"/>
    <n v="12.55"/>
    <n v="7.0000000000000007E-2"/>
    <s v="(0.56%)"/>
    <n v="3.3195999999999999"/>
    <n v="8143258277"/>
  </r>
  <r>
    <n v="473"/>
    <x v="472"/>
    <s v="ROBERT HALF INTERNATIONAL INC. (XNYS:RHI)"/>
    <s v="Professional &amp; Commercial Services"/>
    <n v="2.4746000000000001E-2"/>
    <n v="71.599999999999994"/>
    <n v="-0.47"/>
    <s v="(-0.65%)"/>
    <n v="11.6861"/>
    <n v="7780969927"/>
  </r>
  <r>
    <n v="474"/>
    <x v="473"/>
    <s v="CARNIVAL PLC (XLON:CCL)"/>
    <s v="Hotels &amp; Entertainment Services"/>
    <n v="2.4535000000000001E-2"/>
    <n v="8.08"/>
    <n v="-0.01"/>
    <s v="(-0.12%)"/>
    <n v="0"/>
    <n v="8265489000"/>
  </r>
  <r>
    <n v="475"/>
    <x v="474"/>
    <s v="Catalent, Inc. (XNYS:CTLT)"/>
    <s v="Pharmaceuticals"/>
    <n v="2.4361000000000001E-2"/>
    <n v="44.37"/>
    <n v="0.49"/>
    <s v="(1.12%)"/>
    <n v="18.771599999999999"/>
    <n v="7984984932"/>
  </r>
  <r>
    <n v="476"/>
    <x v="475"/>
    <s v="WHIRLPOOL CORPORATION (XNYS:WHR)"/>
    <s v="Household Goods"/>
    <n v="2.3692999999999999E-2"/>
    <n v="135"/>
    <n v="-4.57"/>
    <s v="(-3.27%)"/>
    <n v="23.704699999999999"/>
    <n v="7458630898"/>
  </r>
  <r>
    <n v="477"/>
    <x v="476"/>
    <s v="FEDERAL REALTY INVESTMENT TRUST (XNYS:FRT)"/>
    <s v="Residential &amp; Commercial REIT"/>
    <n v="2.3175999999999999E-2"/>
    <n v="99"/>
    <n v="-2.35"/>
    <s v="(-2.32%)"/>
    <n v="21.4892"/>
    <n v="8193224437"/>
  </r>
  <r>
    <n v="478"/>
    <x v="477"/>
    <s v="SEEING MACHINES LIMITED (XLON:SEE)"/>
    <s v="Software &amp; IT Services"/>
    <n v="2.3136E-2"/>
    <n v="49.93"/>
    <n v="-0.06"/>
    <s v="(-0.12%)"/>
    <n v="0"/>
    <n v="259375000"/>
  </r>
  <r>
    <n v="479"/>
    <x v="478"/>
    <s v="NEWRANGE GOLD CORP. (XTSX:NRG)"/>
    <s v="Metals &amp; Mining"/>
    <n v="2.3127999999999999E-2"/>
    <n v="31.66"/>
    <n v="0.12"/>
    <s v="(0.38%)"/>
    <s v="#FIELD!"/>
    <n v="2653580"/>
  </r>
  <r>
    <n v="480"/>
    <x v="479"/>
    <s v="PENTAIR PUBLIC LIMITED COMPANY (XNYS:PNR)"/>
    <s v="Machinery, Equipment &amp; Components"/>
    <n v="2.2440000000000002E-2"/>
    <n v="43.65"/>
    <n v="-0.18"/>
    <s v="(-0.41%)"/>
    <n v="13.590400000000001"/>
    <n v="7180355160"/>
  </r>
  <r>
    <n v="481"/>
    <x v="480"/>
    <s v="A. O. SMITH CORPORATION (XNYS:AOS)"/>
    <s v="Machinery, Equipment &amp; Components"/>
    <n v="2.2429000000000001E-2"/>
    <n v="56.34"/>
    <n v="0.28000000000000003"/>
    <s v="(0.50%)"/>
    <n v="17.822900000000001"/>
    <n v="8608135547"/>
  </r>
  <r>
    <n v="482"/>
    <x v="481"/>
    <s v="Hasbro, Inc. (XNAS:HAS)"/>
    <s v="Leisure Products"/>
    <n v="2.2225999999999999E-2"/>
    <n v="54.79"/>
    <n v="-1.1200000000000001"/>
    <s v="(-2.00%)"/>
    <n v="18.736499999999999"/>
    <n v="7567249623"/>
  </r>
  <r>
    <n v="483"/>
    <x v="482"/>
    <s v="Signature Bank (XNAS:SBNY)"/>
    <s v="Banking Services"/>
    <n v="2.2166999999999999E-2"/>
    <n v="113.92"/>
    <n v="-0.08"/>
    <s v="(-0.07%)"/>
    <n v="5.5694999999999997"/>
    <n v="7168863705"/>
  </r>
  <r>
    <n v="484"/>
    <x v="483"/>
    <s v="FRANKLIN RESOURCES, INC. (XNYS:BEN)"/>
    <s v="Investment Banking &amp; Investment Services"/>
    <n v="2.1911E-2"/>
    <n v="26.01"/>
    <n v="0.23"/>
    <s v="(0.89%)"/>
    <n v="10.1967"/>
    <n v="12991021393"/>
  </r>
  <r>
    <n v="485"/>
    <x v="484"/>
    <s v="ORGANON &amp; CO. (XNYS:OGN)"/>
    <s v="Pharmaceuticals"/>
    <n v="2.1589000000000001E-2"/>
    <n v="27.45"/>
    <n v="0.02"/>
    <s v="(0.07%)"/>
    <n v="6.9189999999999996"/>
    <n v="6982302780"/>
  </r>
  <r>
    <n v="486"/>
    <x v="485"/>
    <s v="ZIONS BANCORPORATION, NATIONAL ASSOCIATION (XNAS:ZION)"/>
    <s v="Banking Services"/>
    <n v="2.1495E-2"/>
    <n v="46.04"/>
    <n v="0.3"/>
    <s v="(0.66%)"/>
    <n v="8.6524999999999999"/>
    <n v="6901869114"/>
  </r>
  <r>
    <n v="487"/>
    <x v="486"/>
    <s v="NEWS CORPORATION (XNAS:NWSA)"/>
    <s v="Media &amp; Publishing"/>
    <n v="2.1194999999999999E-2"/>
    <n v="17.510000000000002"/>
    <n v="0.08"/>
    <s v="(0.46%)"/>
    <n v="21.916799999999999"/>
    <n v="10085380000"/>
  </r>
  <r>
    <n v="488"/>
    <x v="487"/>
    <s v="DENTSPLY SIRONA INC. (XNAS:XRAY)"/>
    <s v="Healthcare Equipment &amp; Supplies"/>
    <n v="2.0648E-2"/>
    <n v="30"/>
    <n v="-0.6"/>
    <s v="(-1.96%)"/>
    <n v="19.718499999999999"/>
    <n v="6636479472"/>
  </r>
  <r>
    <n v="489"/>
    <x v="488"/>
    <s v="ASSURANT, INC. (XNYS:AIZ)"/>
    <s v="Insurance"/>
    <n v="2.0410999999999999E-2"/>
    <n v="122.05"/>
    <n v="-0.9"/>
    <s v="(-0.73%)"/>
    <n v="20.617100000000001"/>
    <n v="6448604345"/>
  </r>
  <r>
    <n v="490"/>
    <x v="489"/>
    <s v="DXC TECHNOLOGY COMPANY (XNYS:DXC)"/>
    <s v="Software &amp; IT Services"/>
    <n v="1.8606999999999999E-2"/>
    <n v="26.15"/>
    <n v="0.18"/>
    <s v="(0.69%)"/>
    <n v="8.4687000000000001"/>
    <n v="6016204980"/>
  </r>
  <r>
    <n v="491"/>
    <x v="490"/>
    <s v="GENERAC HOLDINGS INC. (XNYS:GNRC)"/>
    <s v="Machinery, Equipment &amp; Components"/>
    <n v="1.7888000000000001E-2"/>
    <n v="90.93"/>
    <n v="-0.8"/>
    <s v="(-0.87%)"/>
    <n v="13.817299999999999"/>
    <n v="5760363888"/>
  </r>
  <r>
    <n v="492"/>
    <x v="491"/>
    <s v="NORWEGIAN CRUISE LINE HOLDINGS LTD. (XNYS:NCLH)"/>
    <s v="Hotels &amp; Entertainment Services"/>
    <n v="1.7675E-2"/>
    <n v="13.62"/>
    <n v="-0.05"/>
    <s v="(-0.37%)"/>
    <n v="0"/>
    <n v="5722559038"/>
  </r>
  <r>
    <n v="493"/>
    <x v="492"/>
    <s v="ALASKA AIR GROUP, INC. (XNYS:ALK)"/>
    <s v="Passenger Transportation Services"/>
    <n v="1.6580000000000001E-2"/>
    <n v="43.02"/>
    <n v="0.12"/>
    <s v="(0.28%)"/>
    <n v="145.2071"/>
    <n v="5460367290"/>
  </r>
  <r>
    <n v="494"/>
    <x v="493"/>
    <s v="MOHAWK INDUSTRIES, INC. (XNYS:MHK)"/>
    <s v="Household Goods"/>
    <n v="1.5278999999999999E-2"/>
    <n v="94.08"/>
    <n v="-1.34"/>
    <s v="(-1.40%)"/>
    <n v="37.170900000000003"/>
    <n v="5974104840"/>
  </r>
  <r>
    <n v="495"/>
    <x v="494"/>
    <s v="LUMEN TECHNOLOGIES, INC. (XNYS:LUMN)"/>
    <s v="Telecommunications Services"/>
    <n v="1.5098E-2"/>
    <n v="5.24"/>
    <n v="-0.05"/>
    <s v="(-0.95%)"/>
    <n v="2.649"/>
    <n v="5462598240"/>
  </r>
  <r>
    <n v="496"/>
    <x v="495"/>
    <s v="NEWELL BRANDS INC. (XNAS:NWL)"/>
    <s v="Household Goods"/>
    <n v="1.5007E-2"/>
    <n v="12.61"/>
    <n v="-0.15"/>
    <s v="(-1.18%)"/>
    <n v="9.5178999999999991"/>
    <n v="5215496000"/>
  </r>
  <r>
    <n v="497"/>
    <x v="496"/>
    <s v="LINCOLN NATIONAL CORPORATION (XNYS:LNC)"/>
    <s v="Insurance"/>
    <n v="1.4123E-2"/>
    <n v="29.13"/>
    <n v="-0.11"/>
    <s v="(-0.37%)"/>
    <n v="6.7282000000000002"/>
    <n v="4942784755"/>
  </r>
  <r>
    <n v="498"/>
    <x v="497"/>
    <s v="RALPH LAUREN CORPORATION (XNYS:RL)"/>
    <s v="Textiles &amp; Apparel"/>
    <n v="1.3779E-2"/>
    <n v="101.14"/>
    <n v="-1.88"/>
    <s v="(-1.82%)"/>
    <n v="14.2576"/>
    <n v="6707423058"/>
  </r>
  <r>
    <n v="499"/>
    <x v="498"/>
    <s v="FOX"/>
    <s v="#FIELD!"/>
    <n v="1.2635E-2"/>
    <n v="28.1"/>
    <n v="0.47"/>
    <s v="(1.70%)"/>
    <s v="#FIELD!"/>
    <s v="#FIELD!"/>
  </r>
  <r>
    <n v="500"/>
    <x v="499"/>
    <s v="DAVITA INC. (XNYS:DVA)"/>
    <s v="Healthcare Providers &amp; Services"/>
    <n v="1.2548999999999999E-2"/>
    <n v="70.2"/>
    <n v="-2.0699999999999998"/>
    <s v="(-2.86%)"/>
    <n v="10.5794"/>
    <n v="6355654000"/>
  </r>
  <r>
    <n v="501"/>
    <x v="500"/>
    <s v="DISH NETWORK CORPORATION (XNAS:DISH)"/>
    <s v="Media &amp; Publishing"/>
    <n v="1.0681E-2"/>
    <n v="13.82"/>
    <n v="-0.05"/>
    <s v="(-0.36%)"/>
    <n v="4.6050000000000004"/>
    <n v="7334359684"/>
  </r>
  <r>
    <n v="502"/>
    <x v="501"/>
    <s v="VORNADO REALTY TRUST (XNYS:VNO)"/>
    <s v="Residential &amp; Commercial REIT"/>
    <n v="1.0408000000000001E-2"/>
    <n v="21.1"/>
    <n v="-0.21"/>
    <s v="(-0.98%)"/>
    <n v="42.613199999999999"/>
    <n v="4056043364"/>
  </r>
  <r>
    <n v="503"/>
    <x v="502"/>
    <s v="NEWS CORPORATION (XNAS:NWS)"/>
    <s v="Media &amp; Publishing"/>
    <n v="6.7489999999999998E-3"/>
    <n v="17.75"/>
    <n v="0.05"/>
    <s v="(0.28%)"/>
    <n v="21.358000000000001"/>
    <n v="10085380000"/>
  </r>
  <r>
    <n v="504"/>
    <x v="503"/>
    <s v="Manila Broadcasting Company (XPHS:MBC)"/>
    <s v="Media &amp; Publishing"/>
    <n v="3.434E-3"/>
    <n v="7.39"/>
    <n v="-1.08"/>
    <s v="(-12.75%)"/>
    <n v="16.190000000000001"/>
    <n v="2818781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2C496DB-B875-4DAF-93FD-F2C9B8D29F8B}"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Industy">
  <location ref="A2:B52" firstHeaderRow="1" firstDataRow="1" firstDataCol="1"/>
  <pivotFields count="9">
    <pivotField showAll="0"/>
    <pivotField showAll="0"/>
    <pivotField axis="axisRow" showAll="0" sortType="descending">
      <items count="50">
        <item sd="0" x="22"/>
        <item sd="0" x="8"/>
        <item sd="0" x="9"/>
        <item sd="0" x="12"/>
        <item sd="0" x="32"/>
        <item sd="0" x="18"/>
        <item sd="0" x="16"/>
        <item sd="0" x="0"/>
        <item sd="0" x="44"/>
        <item x="42"/>
        <item x="3"/>
        <item x="45"/>
        <item x="2"/>
        <item x="17"/>
        <item x="36"/>
        <item x="28"/>
        <item x="14"/>
        <item x="20"/>
        <item x="23"/>
        <item x="13"/>
        <item x="4"/>
        <item x="39"/>
        <item x="15"/>
        <item x="48"/>
        <item x="31"/>
        <item x="26"/>
        <item x="47"/>
        <item x="25"/>
        <item x="19"/>
        <item x="34"/>
        <item x="35"/>
        <item x="46"/>
        <item x="38"/>
        <item x="6"/>
        <item x="33"/>
        <item x="43"/>
        <item x="10"/>
        <item x="5"/>
        <item x="27"/>
        <item x="41"/>
        <item x="37"/>
        <item x="30"/>
        <item x="7"/>
        <item x="1"/>
        <item x="11"/>
        <item x="21"/>
        <item x="24"/>
        <item x="40"/>
        <item x="29"/>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pivotField numFmtId="4" showAll="0"/>
    <pivotField showAll="0"/>
  </pivotFields>
  <rowFields count="1">
    <field x="2"/>
  </rowFields>
  <rowItems count="50">
    <i>
      <x v="43"/>
    </i>
    <i>
      <x v="37"/>
    </i>
    <i>
      <x v="7"/>
    </i>
    <i>
      <x v="42"/>
    </i>
    <i>
      <x v="19"/>
    </i>
    <i>
      <x v="33"/>
    </i>
    <i>
      <x v="2"/>
    </i>
    <i>
      <x v="12"/>
    </i>
    <i>
      <x v="20"/>
    </i>
    <i>
      <x v="27"/>
    </i>
    <i>
      <x v="10"/>
    </i>
    <i>
      <x v="25"/>
    </i>
    <i>
      <x v="41"/>
    </i>
    <i>
      <x v="13"/>
    </i>
    <i>
      <x v="24"/>
    </i>
    <i>
      <x v="44"/>
    </i>
    <i>
      <x v="17"/>
    </i>
    <i>
      <x v="22"/>
    </i>
    <i>
      <x v="3"/>
    </i>
    <i>
      <x v="1"/>
    </i>
    <i>
      <x/>
    </i>
    <i>
      <x v="36"/>
    </i>
    <i>
      <x v="45"/>
    </i>
    <i>
      <x v="38"/>
    </i>
    <i>
      <x v="5"/>
    </i>
    <i>
      <x v="18"/>
    </i>
    <i>
      <x v="6"/>
    </i>
    <i>
      <x v="16"/>
    </i>
    <i>
      <x v="4"/>
    </i>
    <i>
      <x v="34"/>
    </i>
    <i>
      <x v="28"/>
    </i>
    <i>
      <x v="30"/>
    </i>
    <i>
      <x v="15"/>
    </i>
    <i>
      <x v="46"/>
    </i>
    <i>
      <x v="29"/>
    </i>
    <i>
      <x v="48"/>
    </i>
    <i>
      <x v="14"/>
    </i>
    <i>
      <x v="21"/>
    </i>
    <i>
      <x v="11"/>
    </i>
    <i>
      <x v="40"/>
    </i>
    <i>
      <x v="35"/>
    </i>
    <i>
      <x v="9"/>
    </i>
    <i>
      <x v="8"/>
    </i>
    <i>
      <x v="26"/>
    </i>
    <i>
      <x v="32"/>
    </i>
    <i>
      <x v="47"/>
    </i>
    <i>
      <x v="39"/>
    </i>
    <i>
      <x v="23"/>
    </i>
    <i>
      <x v="31"/>
    </i>
    <i t="grand">
      <x/>
    </i>
  </rowItems>
  <colItems count="1">
    <i/>
  </colItems>
  <dataFields count="1">
    <dataField name="Total Weight " fld="3" baseField="0" baseItem="0"/>
  </dataFields>
  <formats count="2">
    <format dxfId="14">
      <pivotArea dataOnly="0" labelOnly="1" outline="0" axis="axisValues" fieldPosition="0"/>
    </format>
    <format dxfId="13">
      <pivotArea field="2" type="button" dataOnly="0" labelOnly="1" outline="0" axis="axisRow" fieldPosition="0"/>
    </format>
  </formats>
  <chartFormats count="50">
    <chartFormat chart="6" format="0" series="1">
      <pivotArea type="data" outline="0" fieldPosition="0">
        <references count="1">
          <reference field="4294967294" count="1" selected="0">
            <x v="0"/>
          </reference>
        </references>
      </pivotArea>
    </chartFormat>
    <chartFormat chart="6" format="2">
      <pivotArea type="data" outline="0" fieldPosition="0">
        <references count="2">
          <reference field="4294967294" count="1" selected="0">
            <x v="0"/>
          </reference>
          <reference field="2" count="1" selected="0">
            <x v="43"/>
          </reference>
        </references>
      </pivotArea>
    </chartFormat>
    <chartFormat chart="6" format="3">
      <pivotArea type="data" outline="0" fieldPosition="0">
        <references count="2">
          <reference field="4294967294" count="1" selected="0">
            <x v="0"/>
          </reference>
          <reference field="2" count="1" selected="0">
            <x v="7"/>
          </reference>
        </references>
      </pivotArea>
    </chartFormat>
    <chartFormat chart="6" format="4">
      <pivotArea type="data" outline="0" fieldPosition="0">
        <references count="2">
          <reference field="4294967294" count="1" selected="0">
            <x v="0"/>
          </reference>
          <reference field="2" count="1" selected="0">
            <x v="37"/>
          </reference>
        </references>
      </pivotArea>
    </chartFormat>
    <chartFormat chart="6" format="5">
      <pivotArea type="data" outline="0" fieldPosition="0">
        <references count="2">
          <reference field="4294967294" count="1" selected="0">
            <x v="0"/>
          </reference>
          <reference field="2" count="1" selected="0">
            <x v="42"/>
          </reference>
        </references>
      </pivotArea>
    </chartFormat>
    <chartFormat chart="6" format="6">
      <pivotArea type="data" outline="0" fieldPosition="0">
        <references count="2">
          <reference field="4294967294" count="1" selected="0">
            <x v="0"/>
          </reference>
          <reference field="2" count="1" selected="0">
            <x v="33"/>
          </reference>
        </references>
      </pivotArea>
    </chartFormat>
    <chartFormat chart="6" format="7">
      <pivotArea type="data" outline="0" fieldPosition="0">
        <references count="2">
          <reference field="4294967294" count="1" selected="0">
            <x v="0"/>
          </reference>
          <reference field="2" count="1" selected="0">
            <x v="19"/>
          </reference>
        </references>
      </pivotArea>
    </chartFormat>
    <chartFormat chart="6" format="8">
      <pivotArea type="data" outline="0" fieldPosition="0">
        <references count="2">
          <reference field="4294967294" count="1" selected="0">
            <x v="0"/>
          </reference>
          <reference field="2" count="1" selected="0">
            <x v="2"/>
          </reference>
        </references>
      </pivotArea>
    </chartFormat>
    <chartFormat chart="6" format="9">
      <pivotArea type="data" outline="0" fieldPosition="0">
        <references count="2">
          <reference field="4294967294" count="1" selected="0">
            <x v="0"/>
          </reference>
          <reference field="2" count="1" selected="0">
            <x v="12"/>
          </reference>
        </references>
      </pivotArea>
    </chartFormat>
    <chartFormat chart="6" format="10">
      <pivotArea type="data" outline="0" fieldPosition="0">
        <references count="2">
          <reference field="4294967294" count="1" selected="0">
            <x v="0"/>
          </reference>
          <reference field="2" count="1" selected="0">
            <x v="20"/>
          </reference>
        </references>
      </pivotArea>
    </chartFormat>
    <chartFormat chart="6" format="11">
      <pivotArea type="data" outline="0" fieldPosition="0">
        <references count="2">
          <reference field="4294967294" count="1" selected="0">
            <x v="0"/>
          </reference>
          <reference field="2" count="1" selected="0">
            <x v="27"/>
          </reference>
        </references>
      </pivotArea>
    </chartFormat>
    <chartFormat chart="6" format="12">
      <pivotArea type="data" outline="0" fieldPosition="0">
        <references count="2">
          <reference field="4294967294" count="1" selected="0">
            <x v="0"/>
          </reference>
          <reference field="2" count="1" selected="0">
            <x v="10"/>
          </reference>
        </references>
      </pivotArea>
    </chartFormat>
    <chartFormat chart="6" format="13">
      <pivotArea type="data" outline="0" fieldPosition="0">
        <references count="2">
          <reference field="4294967294" count="1" selected="0">
            <x v="0"/>
          </reference>
          <reference field="2" count="1" selected="0">
            <x v="25"/>
          </reference>
        </references>
      </pivotArea>
    </chartFormat>
    <chartFormat chart="6" format="14">
      <pivotArea type="data" outline="0" fieldPosition="0">
        <references count="2">
          <reference field="4294967294" count="1" selected="0">
            <x v="0"/>
          </reference>
          <reference field="2" count="1" selected="0">
            <x v="41"/>
          </reference>
        </references>
      </pivotArea>
    </chartFormat>
    <chartFormat chart="6" format="15">
      <pivotArea type="data" outline="0" fieldPosition="0">
        <references count="2">
          <reference field="4294967294" count="1" selected="0">
            <x v="0"/>
          </reference>
          <reference field="2" count="1" selected="0">
            <x v="13"/>
          </reference>
        </references>
      </pivotArea>
    </chartFormat>
    <chartFormat chart="6" format="16">
      <pivotArea type="data" outline="0" fieldPosition="0">
        <references count="2">
          <reference field="4294967294" count="1" selected="0">
            <x v="0"/>
          </reference>
          <reference field="2" count="1" selected="0">
            <x v="24"/>
          </reference>
        </references>
      </pivotArea>
    </chartFormat>
    <chartFormat chart="6" format="17">
      <pivotArea type="data" outline="0" fieldPosition="0">
        <references count="2">
          <reference field="4294967294" count="1" selected="0">
            <x v="0"/>
          </reference>
          <reference field="2" count="1" selected="0">
            <x v="44"/>
          </reference>
        </references>
      </pivotArea>
    </chartFormat>
    <chartFormat chart="6" format="18">
      <pivotArea type="data" outline="0" fieldPosition="0">
        <references count="2">
          <reference field="4294967294" count="1" selected="0">
            <x v="0"/>
          </reference>
          <reference field="2" count="1" selected="0">
            <x v="1"/>
          </reference>
        </references>
      </pivotArea>
    </chartFormat>
    <chartFormat chart="6" format="19">
      <pivotArea type="data" outline="0" fieldPosition="0">
        <references count="2">
          <reference field="4294967294" count="1" selected="0">
            <x v="0"/>
          </reference>
          <reference field="2" count="1" selected="0">
            <x v="17"/>
          </reference>
        </references>
      </pivotArea>
    </chartFormat>
    <chartFormat chart="6" format="20">
      <pivotArea type="data" outline="0" fieldPosition="0">
        <references count="2">
          <reference field="4294967294" count="1" selected="0">
            <x v="0"/>
          </reference>
          <reference field="2" count="1" selected="0">
            <x v="22"/>
          </reference>
        </references>
      </pivotArea>
    </chartFormat>
    <chartFormat chart="6" format="21">
      <pivotArea type="data" outline="0" fieldPosition="0">
        <references count="2">
          <reference field="4294967294" count="1" selected="0">
            <x v="0"/>
          </reference>
          <reference field="2" count="1" selected="0">
            <x v="3"/>
          </reference>
        </references>
      </pivotArea>
    </chartFormat>
    <chartFormat chart="6" format="22">
      <pivotArea type="data" outline="0" fieldPosition="0">
        <references count="2">
          <reference field="4294967294" count="1" selected="0">
            <x v="0"/>
          </reference>
          <reference field="2" count="1" selected="0">
            <x v="0"/>
          </reference>
        </references>
      </pivotArea>
    </chartFormat>
    <chartFormat chart="6" format="23">
      <pivotArea type="data" outline="0" fieldPosition="0">
        <references count="2">
          <reference field="4294967294" count="1" selected="0">
            <x v="0"/>
          </reference>
          <reference field="2" count="1" selected="0">
            <x v="45"/>
          </reference>
        </references>
      </pivotArea>
    </chartFormat>
    <chartFormat chart="6" format="24">
      <pivotArea type="data" outline="0" fieldPosition="0">
        <references count="2">
          <reference field="4294967294" count="1" selected="0">
            <x v="0"/>
          </reference>
          <reference field="2" count="1" selected="0">
            <x v="38"/>
          </reference>
        </references>
      </pivotArea>
    </chartFormat>
    <chartFormat chart="6" format="25">
      <pivotArea type="data" outline="0" fieldPosition="0">
        <references count="2">
          <reference field="4294967294" count="1" selected="0">
            <x v="0"/>
          </reference>
          <reference field="2" count="1" selected="0">
            <x v="5"/>
          </reference>
        </references>
      </pivotArea>
    </chartFormat>
    <chartFormat chart="6" format="26">
      <pivotArea type="data" outline="0" fieldPosition="0">
        <references count="2">
          <reference field="4294967294" count="1" selected="0">
            <x v="0"/>
          </reference>
          <reference field="2" count="1" selected="0">
            <x v="36"/>
          </reference>
        </references>
      </pivotArea>
    </chartFormat>
    <chartFormat chart="6" format="27">
      <pivotArea type="data" outline="0" fieldPosition="0">
        <references count="2">
          <reference field="4294967294" count="1" selected="0">
            <x v="0"/>
          </reference>
          <reference field="2" count="1" selected="0">
            <x v="18"/>
          </reference>
        </references>
      </pivotArea>
    </chartFormat>
    <chartFormat chart="6" format="28">
      <pivotArea type="data" outline="0" fieldPosition="0">
        <references count="2">
          <reference field="4294967294" count="1" selected="0">
            <x v="0"/>
          </reference>
          <reference field="2" count="1" selected="0">
            <x v="6"/>
          </reference>
        </references>
      </pivotArea>
    </chartFormat>
    <chartFormat chart="6" format="29">
      <pivotArea type="data" outline="0" fieldPosition="0">
        <references count="2">
          <reference field="4294967294" count="1" selected="0">
            <x v="0"/>
          </reference>
          <reference field="2" count="1" selected="0">
            <x v="16"/>
          </reference>
        </references>
      </pivotArea>
    </chartFormat>
    <chartFormat chart="6" format="30">
      <pivotArea type="data" outline="0" fieldPosition="0">
        <references count="2">
          <reference field="4294967294" count="1" selected="0">
            <x v="0"/>
          </reference>
          <reference field="2" count="1" selected="0">
            <x v="4"/>
          </reference>
        </references>
      </pivotArea>
    </chartFormat>
    <chartFormat chart="6" format="31">
      <pivotArea type="data" outline="0" fieldPosition="0">
        <references count="2">
          <reference field="4294967294" count="1" selected="0">
            <x v="0"/>
          </reference>
          <reference field="2" count="1" selected="0">
            <x v="28"/>
          </reference>
        </references>
      </pivotArea>
    </chartFormat>
    <chartFormat chart="6" format="32">
      <pivotArea type="data" outline="0" fieldPosition="0">
        <references count="2">
          <reference field="4294967294" count="1" selected="0">
            <x v="0"/>
          </reference>
          <reference field="2" count="1" selected="0">
            <x v="34"/>
          </reference>
        </references>
      </pivotArea>
    </chartFormat>
    <chartFormat chart="6" format="33">
      <pivotArea type="data" outline="0" fieldPosition="0">
        <references count="2">
          <reference field="4294967294" count="1" selected="0">
            <x v="0"/>
          </reference>
          <reference field="2" count="1" selected="0">
            <x v="30"/>
          </reference>
        </references>
      </pivotArea>
    </chartFormat>
    <chartFormat chart="6" format="34">
      <pivotArea type="data" outline="0" fieldPosition="0">
        <references count="2">
          <reference field="4294967294" count="1" selected="0">
            <x v="0"/>
          </reference>
          <reference field="2" count="1" selected="0">
            <x v="15"/>
          </reference>
        </references>
      </pivotArea>
    </chartFormat>
    <chartFormat chart="6" format="35">
      <pivotArea type="data" outline="0" fieldPosition="0">
        <references count="2">
          <reference field="4294967294" count="1" selected="0">
            <x v="0"/>
          </reference>
          <reference field="2" count="1" selected="0">
            <x v="46"/>
          </reference>
        </references>
      </pivotArea>
    </chartFormat>
    <chartFormat chart="6" format="36">
      <pivotArea type="data" outline="0" fieldPosition="0">
        <references count="2">
          <reference field="4294967294" count="1" selected="0">
            <x v="0"/>
          </reference>
          <reference field="2" count="1" selected="0">
            <x v="29"/>
          </reference>
        </references>
      </pivotArea>
    </chartFormat>
    <chartFormat chart="6" format="37">
      <pivotArea type="data" outline="0" fieldPosition="0">
        <references count="2">
          <reference field="4294967294" count="1" selected="0">
            <x v="0"/>
          </reference>
          <reference field="2" count="1" selected="0">
            <x v="21"/>
          </reference>
        </references>
      </pivotArea>
    </chartFormat>
    <chartFormat chart="6" format="38">
      <pivotArea type="data" outline="0" fieldPosition="0">
        <references count="2">
          <reference field="4294967294" count="1" selected="0">
            <x v="0"/>
          </reference>
          <reference field="2" count="1" selected="0">
            <x v="14"/>
          </reference>
        </references>
      </pivotArea>
    </chartFormat>
    <chartFormat chart="6" format="39">
      <pivotArea type="data" outline="0" fieldPosition="0">
        <references count="2">
          <reference field="4294967294" count="1" selected="0">
            <x v="0"/>
          </reference>
          <reference field="2" count="1" selected="0">
            <x v="11"/>
          </reference>
        </references>
      </pivotArea>
    </chartFormat>
    <chartFormat chart="6" format="40">
      <pivotArea type="data" outline="0" fieldPosition="0">
        <references count="2">
          <reference field="4294967294" count="1" selected="0">
            <x v="0"/>
          </reference>
          <reference field="2" count="1" selected="0">
            <x v="35"/>
          </reference>
        </references>
      </pivotArea>
    </chartFormat>
    <chartFormat chart="6" format="41">
      <pivotArea type="data" outline="0" fieldPosition="0">
        <references count="2">
          <reference field="4294967294" count="1" selected="0">
            <x v="0"/>
          </reference>
          <reference field="2" count="1" selected="0">
            <x v="40"/>
          </reference>
        </references>
      </pivotArea>
    </chartFormat>
    <chartFormat chart="6" format="42">
      <pivotArea type="data" outline="0" fieldPosition="0">
        <references count="2">
          <reference field="4294967294" count="1" selected="0">
            <x v="0"/>
          </reference>
          <reference field="2" count="1" selected="0">
            <x v="9"/>
          </reference>
        </references>
      </pivotArea>
    </chartFormat>
    <chartFormat chart="6" format="43">
      <pivotArea type="data" outline="0" fieldPosition="0">
        <references count="2">
          <reference field="4294967294" count="1" selected="0">
            <x v="0"/>
          </reference>
          <reference field="2" count="1" selected="0">
            <x v="26"/>
          </reference>
        </references>
      </pivotArea>
    </chartFormat>
    <chartFormat chart="6" format="44">
      <pivotArea type="data" outline="0" fieldPosition="0">
        <references count="2">
          <reference field="4294967294" count="1" selected="0">
            <x v="0"/>
          </reference>
          <reference field="2" count="1" selected="0">
            <x v="8"/>
          </reference>
        </references>
      </pivotArea>
    </chartFormat>
    <chartFormat chart="6" format="45">
      <pivotArea type="data" outline="0" fieldPosition="0">
        <references count="2">
          <reference field="4294967294" count="1" selected="0">
            <x v="0"/>
          </reference>
          <reference field="2" count="1" selected="0">
            <x v="32"/>
          </reference>
        </references>
      </pivotArea>
    </chartFormat>
    <chartFormat chart="6" format="46">
      <pivotArea type="data" outline="0" fieldPosition="0">
        <references count="2">
          <reference field="4294967294" count="1" selected="0">
            <x v="0"/>
          </reference>
          <reference field="2" count="1" selected="0">
            <x v="47"/>
          </reference>
        </references>
      </pivotArea>
    </chartFormat>
    <chartFormat chart="6" format="47">
      <pivotArea type="data" outline="0" fieldPosition="0">
        <references count="2">
          <reference field="4294967294" count="1" selected="0">
            <x v="0"/>
          </reference>
          <reference field="2" count="1" selected="0">
            <x v="39"/>
          </reference>
        </references>
      </pivotArea>
    </chartFormat>
    <chartFormat chart="6" format="48">
      <pivotArea type="data" outline="0" fieldPosition="0">
        <references count="2">
          <reference field="4294967294" count="1" selected="0">
            <x v="0"/>
          </reference>
          <reference field="2" count="1" selected="0">
            <x v="23"/>
          </reference>
        </references>
      </pivotArea>
    </chartFormat>
    <chartFormat chart="6" format="49">
      <pivotArea type="data" outline="0" fieldPosition="0">
        <references count="2">
          <reference field="4294967294" count="1" selected="0">
            <x v="0"/>
          </reference>
          <reference field="2" count="1" selected="0">
            <x v="31"/>
          </reference>
        </references>
      </pivotArea>
    </chartFormat>
    <chartFormat chart="6" format="50">
      <pivotArea type="data" outline="0" fieldPosition="0">
        <references count="2">
          <reference field="4294967294" count="1" selected="0">
            <x v="0"/>
          </reference>
          <reference field="2" count="1" selected="0">
            <x v="4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754E36-BC01-4E84-A79B-2E5829B50D1C}"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1" rowHeaderCaption="Companies">
  <location ref="A2:B507" firstHeaderRow="1" firstDataRow="1" firstDataCol="1"/>
  <pivotFields count="10">
    <pivotField showAll="0"/>
    <pivotField axis="axisRow" showAll="0" sortType="descending">
      <items count="505">
        <item x="105"/>
        <item x="480"/>
        <item x="31"/>
        <item x="18"/>
        <item x="348"/>
        <item x="35"/>
        <item x="134"/>
        <item x="41"/>
        <item x="466"/>
        <item x="73"/>
        <item x="328"/>
        <item x="180"/>
        <item x="164"/>
        <item x="104"/>
        <item x="394"/>
        <item x="492"/>
        <item x="253"/>
        <item x="299"/>
        <item x="381"/>
        <item x="454"/>
        <item x="390"/>
        <item x="204"/>
        <item x="4"/>
        <item x="6"/>
        <item x="89"/>
        <item x="2"/>
        <item x="334"/>
        <item x="290"/>
        <item x="471"/>
        <item x="147"/>
        <item x="84"/>
        <item x="153"/>
        <item x="78"/>
        <item x="252"/>
        <item x="216"/>
        <item x="256"/>
        <item x="227"/>
        <item x="45"/>
        <item x="157"/>
        <item x="85"/>
        <item x="309"/>
        <item x="114"/>
        <item x="383"/>
        <item x="0"/>
        <item x="82"/>
        <item x="268"/>
        <item x="292"/>
        <item x="142"/>
        <item x="234"/>
        <item x="186"/>
        <item x="488"/>
        <item x="52"/>
        <item x="361"/>
        <item x="173"/>
        <item x="76"/>
        <item x="158"/>
        <item x="288"/>
        <item x="379"/>
        <item x="244"/>
        <item x="357"/>
        <item x="24"/>
        <item x="221"/>
        <item x="455"/>
        <item x="269"/>
        <item x="103"/>
        <item x="3"/>
        <item x="354"/>
        <item x="172"/>
        <item x="463"/>
        <item x="414"/>
        <item x="71"/>
        <item x="72"/>
        <item x="98"/>
        <item x="447"/>
        <item x="453"/>
        <item x="108"/>
        <item x="40"/>
        <item x="25"/>
        <item x="362"/>
        <item x="403"/>
        <item x="421"/>
        <item x="425"/>
        <item x="161"/>
        <item x="450"/>
        <item x="424"/>
        <item x="426"/>
        <item x="213"/>
        <item x="302"/>
        <item x="452"/>
        <item x="473"/>
        <item x="205"/>
        <item x="474"/>
        <item x="59"/>
        <item x="400"/>
        <item x="276"/>
        <item x="278"/>
        <item x="441"/>
        <item x="150"/>
        <item x="326"/>
        <item x="448"/>
        <item x="329"/>
        <item x="434"/>
        <item x="61"/>
        <item x="217"/>
        <item x="15"/>
        <item x="183"/>
        <item x="83"/>
        <item x="320"/>
        <item x="77"/>
        <item x="355"/>
        <item x="189"/>
        <item x="30"/>
        <item x="86"/>
        <item x="325"/>
        <item x="344"/>
        <item x="115"/>
        <item x="339"/>
        <item x="23"/>
        <item x="247"/>
        <item x="110"/>
        <item x="43"/>
        <item x="468"/>
        <item x="332"/>
        <item x="47"/>
        <item x="212"/>
        <item x="192"/>
        <item x="242"/>
        <item x="367"/>
        <item x="264"/>
        <item x="277"/>
        <item x="169"/>
        <item x="225"/>
        <item x="27"/>
        <item x="321"/>
        <item x="122"/>
        <item x="109"/>
        <item x="215"/>
        <item x="57"/>
        <item x="250"/>
        <item x="32"/>
        <item x="351"/>
        <item x="499"/>
        <item x="62"/>
        <item x="301"/>
        <item x="487"/>
        <item x="187"/>
        <item x="162"/>
        <item x="280"/>
        <item x="245"/>
        <item x="263"/>
        <item x="500"/>
        <item x="129"/>
        <item x="239"/>
        <item x="146"/>
        <item x="405"/>
        <item x="323"/>
        <item x="203"/>
        <item x="294"/>
        <item x="93"/>
        <item x="211"/>
        <item x="489"/>
        <item x="443"/>
        <item x="116"/>
        <item x="289"/>
        <item x="206"/>
        <item x="271"/>
        <item x="155"/>
        <item x="223"/>
        <item x="60"/>
        <item x="19"/>
        <item x="127"/>
        <item x="171"/>
        <item x="286"/>
        <item x="101"/>
        <item x="324"/>
        <item x="396"/>
        <item x="281"/>
        <item x="118"/>
        <item x="313"/>
        <item x="391"/>
        <item x="132"/>
        <item x="358"/>
        <item x="407"/>
        <item x="385"/>
        <item x="243"/>
        <item x="170"/>
        <item x="406"/>
        <item x="341"/>
        <item x="317"/>
        <item x="8"/>
        <item x="467"/>
        <item x="360"/>
        <item x="254"/>
        <item x="476"/>
        <item x="175"/>
        <item x="177"/>
        <item x="296"/>
        <item x="295"/>
        <item x="363"/>
        <item x="293"/>
        <item x="112"/>
        <item x="392"/>
        <item x="366"/>
        <item x="152"/>
        <item x="219"/>
        <item x="291"/>
        <item x="458"/>
        <item x="498"/>
        <item x="483"/>
        <item x="136"/>
        <item x="386"/>
        <item x="257"/>
        <item x="415"/>
        <item x="490"/>
        <item x="130"/>
        <item x="87"/>
        <item x="139"/>
        <item x="143"/>
        <item x="270"/>
        <item x="69"/>
        <item x="265"/>
        <item x="436"/>
        <item x="63"/>
        <item x="218"/>
        <item x="279"/>
        <item x="481"/>
        <item x="140"/>
        <item x="395"/>
        <item x="431"/>
        <item x="210"/>
        <item x="197"/>
        <item x="314"/>
        <item x="202"/>
        <item x="330"/>
        <item x="14"/>
        <item x="46"/>
        <item x="397"/>
        <item x="422"/>
        <item x="387"/>
        <item x="275"/>
        <item x="111"/>
        <item x="315"/>
        <item x="456"/>
        <item x="350"/>
        <item x="214"/>
        <item x="117"/>
        <item x="232"/>
        <item x="373"/>
        <item x="306"/>
        <item x="68"/>
        <item x="128"/>
        <item x="56"/>
        <item x="262"/>
        <item x="408"/>
        <item x="411"/>
        <item x="70"/>
        <item x="79"/>
        <item x="470"/>
        <item x="346"/>
        <item x="194"/>
        <item x="382"/>
        <item x="374"/>
        <item x="353"/>
        <item x="404"/>
        <item x="370"/>
        <item x="7"/>
        <item x="165"/>
        <item x="11"/>
        <item x="440"/>
        <item x="331"/>
        <item x="229"/>
        <item x="369"/>
        <item x="230"/>
        <item x="154"/>
        <item x="401"/>
        <item x="207"/>
        <item x="133"/>
        <item x="222"/>
        <item x="240"/>
        <item x="182"/>
        <item x="304"/>
        <item x="120"/>
        <item x="412"/>
        <item x="371"/>
        <item x="384"/>
        <item x="284"/>
        <item x="496"/>
        <item x="34"/>
        <item x="445"/>
        <item x="389"/>
        <item x="66"/>
        <item x="435"/>
        <item x="54"/>
        <item x="494"/>
        <item x="307"/>
        <item x="272"/>
        <item x="347"/>
        <item x="137"/>
        <item x="439"/>
        <item x="174"/>
        <item x="90"/>
        <item x="300"/>
        <item x="437"/>
        <item x="503"/>
        <item x="16"/>
        <item x="427"/>
        <item x="303"/>
        <item x="29"/>
        <item x="135"/>
        <item x="75"/>
        <item x="20"/>
        <item x="21"/>
        <item x="149"/>
        <item x="226"/>
        <item x="430"/>
        <item x="181"/>
        <item x="125"/>
        <item x="1"/>
        <item x="340"/>
        <item x="113"/>
        <item x="493"/>
        <item x="322"/>
        <item x="446"/>
        <item x="81"/>
        <item x="356"/>
        <item x="188"/>
        <item x="163"/>
        <item x="65"/>
        <item x="368"/>
        <item x="167"/>
        <item x="193"/>
        <item x="305"/>
        <item x="398"/>
        <item x="51"/>
        <item x="495"/>
        <item x="200"/>
        <item x="486"/>
        <item x="502"/>
        <item x="33"/>
        <item x="49"/>
        <item x="433"/>
        <item x="410"/>
        <item x="123"/>
        <item x="336"/>
        <item x="94"/>
        <item x="491"/>
        <item x="478"/>
        <item x="209"/>
        <item x="9"/>
        <item x="380"/>
        <item x="168"/>
        <item x="156"/>
        <item x="259"/>
        <item x="359"/>
        <item x="251"/>
        <item x="248"/>
        <item x="58"/>
        <item x="141"/>
        <item x="484"/>
        <item x="220"/>
        <item x="208"/>
        <item x="419"/>
        <item x="465"/>
        <item x="199"/>
        <item x="195"/>
        <item x="372"/>
        <item x="92"/>
        <item x="479"/>
        <item x="22"/>
        <item x="345"/>
        <item x="17"/>
        <item x="266"/>
        <item x="38"/>
        <item x="148"/>
        <item x="461"/>
        <item x="138"/>
        <item x="119"/>
        <item x="417"/>
        <item x="238"/>
        <item x="298"/>
        <item x="316"/>
        <item x="12"/>
        <item x="100"/>
        <item x="74"/>
        <item x="201"/>
        <item x="402"/>
        <item x="237"/>
        <item x="160"/>
        <item x="438"/>
        <item x="449"/>
        <item x="55"/>
        <item x="312"/>
        <item x="343"/>
        <item x="497"/>
        <item x="308"/>
        <item x="44"/>
        <item x="178"/>
        <item x="451"/>
        <item x="95"/>
        <item x="318"/>
        <item x="258"/>
        <item x="231"/>
        <item x="472"/>
        <item x="241"/>
        <item x="462"/>
        <item x="159"/>
        <item x="176"/>
        <item x="428"/>
        <item x="67"/>
        <item x="50"/>
        <item x="235"/>
        <item x="102"/>
        <item x="442"/>
        <item x="477"/>
        <item x="144"/>
        <item x="96"/>
        <item x="126"/>
        <item x="482"/>
        <item x="191"/>
        <item x="375"/>
        <item x="420"/>
        <item x="349"/>
        <item x="97"/>
        <item x="297"/>
        <item x="432"/>
        <item x="64"/>
        <item x="246"/>
        <item x="337"/>
        <item x="91"/>
        <item x="418"/>
        <item x="377"/>
        <item x="145"/>
        <item x="179"/>
        <item x="273"/>
        <item x="365"/>
        <item x="457"/>
        <item x="364"/>
        <item x="106"/>
        <item x="196"/>
        <item x="335"/>
        <item x="429"/>
        <item x="388"/>
        <item x="10"/>
        <item x="42"/>
        <item x="376"/>
        <item x="26"/>
        <item x="80"/>
        <item x="88"/>
        <item x="282"/>
        <item x="184"/>
        <item x="228"/>
        <item x="166"/>
        <item x="416"/>
        <item x="131"/>
        <item x="393"/>
        <item x="338"/>
        <item x="124"/>
        <item x="423"/>
        <item x="285"/>
        <item x="53"/>
        <item x="413"/>
        <item x="48"/>
        <item x="274"/>
        <item x="5"/>
        <item x="459"/>
        <item x="469"/>
        <item x="151"/>
        <item x="342"/>
        <item x="327"/>
        <item x="255"/>
        <item x="39"/>
        <item x="99"/>
        <item x="399"/>
        <item x="224"/>
        <item x="13"/>
        <item x="501"/>
        <item x="283"/>
        <item x="378"/>
        <item x="267"/>
        <item x="249"/>
        <item x="28"/>
        <item x="37"/>
        <item x="310"/>
        <item x="121"/>
        <item x="311"/>
        <item x="236"/>
        <item x="36"/>
        <item x="233"/>
        <item x="352"/>
        <item x="444"/>
        <item x="333"/>
        <item x="460"/>
        <item x="287"/>
        <item x="475"/>
        <item x="185"/>
        <item x="261"/>
        <item x="464"/>
        <item x="190"/>
        <item x="319"/>
        <item x="198"/>
        <item x="409"/>
        <item x="260"/>
        <item x="485"/>
        <item x="107"/>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44" showAll="0"/>
    <pivotField dataField="1" numFmtId="44" showAll="0"/>
    <pivotField showAll="0"/>
    <pivotField showAll="0"/>
    <pivotField showAll="0"/>
  </pivotFields>
  <rowFields count="1">
    <field x="1"/>
  </rowFields>
  <rowItems count="505">
    <i>
      <x v="72"/>
    </i>
    <i>
      <x v="105"/>
    </i>
    <i>
      <x v="319"/>
    </i>
    <i>
      <x v="142"/>
    </i>
    <i>
      <x v="7"/>
    </i>
    <i>
      <x v="450"/>
    </i>
    <i>
      <x v="5"/>
    </i>
    <i>
      <x v="290"/>
    </i>
    <i>
      <x v="415"/>
    </i>
    <i>
      <x v="403"/>
    </i>
    <i>
      <x v="92"/>
    </i>
    <i>
      <x v="127"/>
    </i>
    <i>
      <x v="174"/>
    </i>
    <i>
      <x v="103"/>
    </i>
    <i>
      <x v="500"/>
    </i>
    <i>
      <x v="182"/>
    </i>
    <i>
      <x v="104"/>
    </i>
    <i>
      <x v="398"/>
    </i>
    <i>
      <x v="71"/>
    </i>
    <i>
      <x v="311"/>
    </i>
    <i>
      <x v="106"/>
    </i>
    <i>
      <x v="132"/>
    </i>
    <i>
      <x v="401"/>
    </i>
    <i>
      <x v="251"/>
    </i>
    <i>
      <x v="214"/>
    </i>
    <i>
      <x v="451"/>
    </i>
    <i>
      <x v="215"/>
    </i>
    <i>
      <x v="123"/>
    </i>
    <i>
      <x v="230"/>
    </i>
    <i>
      <x v="466"/>
    </i>
    <i>
      <x v="335"/>
    </i>
    <i>
      <x v="287"/>
    </i>
    <i>
      <x v="235"/>
    </i>
    <i>
      <x v="373"/>
    </i>
    <i>
      <x v="18"/>
    </i>
    <i>
      <x v="256"/>
    </i>
    <i>
      <x v="65"/>
    </i>
    <i>
      <x v="297"/>
    </i>
    <i>
      <x v="439"/>
    </i>
    <i>
      <x v="57"/>
    </i>
    <i>
      <x v="169"/>
    </i>
    <i>
      <x v="243"/>
    </i>
    <i>
      <x v="49"/>
    </i>
    <i>
      <x v="168"/>
    </i>
    <i>
      <x v="180"/>
    </i>
    <i>
      <x v="46"/>
    </i>
    <i>
      <x v="304"/>
    </i>
    <i>
      <x v="164"/>
    </i>
    <i>
      <x v="149"/>
    </i>
    <i>
      <x v="376"/>
    </i>
    <i>
      <x v="411"/>
    </i>
    <i>
      <x v="34"/>
    </i>
    <i>
      <x v="429"/>
    </i>
    <i>
      <x v="189"/>
    </i>
    <i>
      <x v="259"/>
    </i>
    <i>
      <x v="223"/>
    </i>
    <i>
      <x v="147"/>
    </i>
    <i>
      <x v="477"/>
    </i>
    <i>
      <x v="317"/>
    </i>
    <i>
      <x v="140"/>
    </i>
    <i>
      <x v="190"/>
    </i>
    <i>
      <x v="109"/>
    </i>
    <i>
      <x v="31"/>
    </i>
    <i>
      <x v="481"/>
    </i>
    <i>
      <x v="375"/>
    </i>
    <i>
      <x v="312"/>
    </i>
    <i>
      <x v="369"/>
    </i>
    <i>
      <x v="384"/>
    </i>
    <i>
      <x v="146"/>
    </i>
    <i>
      <x v="300"/>
    </i>
    <i>
      <x v="480"/>
    </i>
    <i>
      <x v="464"/>
    </i>
    <i>
      <x v="496"/>
    </i>
    <i>
      <x v="12"/>
    </i>
    <i>
      <x v="21"/>
    </i>
    <i>
      <x v="272"/>
    </i>
    <i>
      <x v="305"/>
    </i>
    <i>
      <x v="410"/>
    </i>
    <i>
      <x v="476"/>
    </i>
    <i>
      <x v="200"/>
    </i>
    <i>
      <x v="263"/>
    </i>
    <i>
      <x v="329"/>
    </i>
    <i>
      <x v="301"/>
    </i>
    <i>
      <x v="220"/>
    </i>
    <i>
      <x v="248"/>
    </i>
    <i>
      <x v="100"/>
    </i>
    <i>
      <x v="245"/>
    </i>
    <i>
      <x v="36"/>
    </i>
    <i>
      <x v="405"/>
    </i>
    <i>
      <x v="41"/>
    </i>
    <i>
      <x v="436"/>
    </i>
    <i>
      <x v="325"/>
    </i>
    <i>
      <x v="328"/>
    </i>
    <i>
      <x v="30"/>
    </i>
    <i>
      <x v="238"/>
    </i>
    <i>
      <x v="58"/>
    </i>
    <i>
      <x v="282"/>
    </i>
    <i>
      <x v="95"/>
    </i>
    <i>
      <x v="22"/>
    </i>
    <i>
      <x v="40"/>
    </i>
    <i>
      <x v="45"/>
    </i>
    <i>
      <x v="130"/>
    </i>
    <i>
      <x v="455"/>
    </i>
    <i>
      <x v="395"/>
    </i>
    <i>
      <x v="422"/>
    </i>
    <i>
      <x v="23"/>
    </i>
    <i>
      <x v="495"/>
    </i>
    <i>
      <x v="380"/>
    </i>
    <i>
      <x v="501"/>
    </i>
    <i>
      <x v="489"/>
    </i>
    <i>
      <x v="460"/>
    </i>
    <i>
      <x v="474"/>
    </i>
    <i>
      <x v="91"/>
    </i>
    <i>
      <x v="204"/>
    </i>
    <i>
      <x v="394"/>
    </i>
    <i>
      <x v="247"/>
    </i>
    <i>
      <x v="416"/>
    </i>
    <i>
      <x v="9"/>
    </i>
    <i>
      <x v="207"/>
    </i>
    <i>
      <x v="170"/>
    </i>
    <i>
      <x v="206"/>
    </i>
    <i>
      <x v="294"/>
    </i>
    <i>
      <x v="356"/>
    </i>
    <i>
      <x v="267"/>
    </i>
    <i>
      <x v="14"/>
    </i>
    <i>
      <x v="490"/>
    </i>
    <i>
      <x v="96"/>
    </i>
    <i>
      <x v="252"/>
    </i>
    <i>
      <x v="432"/>
    </i>
    <i>
      <x v="74"/>
    </i>
    <i>
      <x v="122"/>
    </i>
    <i>
      <x v="186"/>
    </i>
    <i>
      <x v="420"/>
    </i>
    <i>
      <x v="195"/>
    </i>
    <i>
      <x v="221"/>
    </i>
    <i>
      <x v="153"/>
    </i>
    <i>
      <x v="156"/>
    </i>
    <i>
      <x v="421"/>
    </i>
    <i>
      <x v="183"/>
    </i>
    <i>
      <x v="372"/>
    </i>
    <i>
      <x v="502"/>
    </i>
    <i>
      <x v="185"/>
    </i>
    <i>
      <x v="288"/>
    </i>
    <i>
      <x v="42"/>
    </i>
    <i>
      <x v="1"/>
    </i>
    <i>
      <x v="136"/>
    </i>
    <i>
      <x v="11"/>
    </i>
    <i>
      <x v="310"/>
    </i>
    <i>
      <x v="254"/>
    </i>
    <i>
      <x v="400"/>
    </i>
    <i>
      <x v="430"/>
    </i>
    <i>
      <x v="289"/>
    </i>
    <i>
      <x v="462"/>
    </i>
    <i>
      <x v="444"/>
    </i>
    <i>
      <x v="199"/>
    </i>
    <i>
      <x v="347"/>
    </i>
    <i>
      <x v="208"/>
    </i>
    <i>
      <x v="120"/>
    </i>
    <i>
      <x v="205"/>
    </i>
    <i>
      <x v="479"/>
    </i>
    <i>
      <x v="161"/>
    </i>
    <i>
      <x v="116"/>
    </i>
    <i>
      <x v="78"/>
    </i>
    <i>
      <x v="51"/>
    </i>
    <i>
      <x v="231"/>
    </i>
    <i>
      <x v="332"/>
    </i>
    <i>
      <x v="160"/>
    </i>
    <i>
      <x v="278"/>
    </i>
    <i>
      <x v="133"/>
    </i>
    <i>
      <x v="10"/>
    </i>
    <i>
      <x v="16"/>
    </i>
    <i>
      <x v="323"/>
    </i>
    <i>
      <x v="370"/>
    </i>
    <i>
      <x v="237"/>
    </i>
    <i>
      <x v="60"/>
    </i>
    <i>
      <x v="296"/>
    </i>
    <i>
      <x v="391"/>
    </i>
    <i>
      <x v="61"/>
    </i>
    <i>
      <x v="346"/>
    </i>
    <i>
      <x v="15"/>
    </i>
    <i>
      <x v="250"/>
    </i>
    <i>
      <x v="25"/>
    </i>
    <i>
      <x v="268"/>
    </i>
    <i>
      <x v="24"/>
    </i>
    <i>
      <x v="483"/>
    </i>
    <i>
      <x v="275"/>
    </i>
    <i>
      <x v="145"/>
    </i>
    <i>
      <x v="241"/>
    </i>
    <i>
      <x v="485"/>
    </i>
    <i>
      <x v="497"/>
    </i>
    <i>
      <x v="239"/>
    </i>
    <i>
      <x v="336"/>
    </i>
    <i>
      <x v="399"/>
    </i>
    <i>
      <x v="210"/>
    </i>
    <i>
      <x v="28"/>
    </i>
    <i>
      <x v="201"/>
    </i>
    <i>
      <x v="314"/>
    </i>
    <i>
      <x v="381"/>
    </i>
    <i>
      <x v="118"/>
    </i>
    <i>
      <x v="284"/>
    </i>
    <i>
      <x v="337"/>
    </i>
    <i>
      <x v="279"/>
    </i>
    <i>
      <x v="35"/>
    </i>
    <i>
      <x v="359"/>
    </i>
    <i>
      <x v="47"/>
    </i>
    <i>
      <x v="473"/>
    </i>
    <i>
      <x v="355"/>
    </i>
    <i>
      <x v="423"/>
    </i>
    <i>
      <x v="494"/>
    </i>
    <i>
      <x v="492"/>
    </i>
    <i>
      <x v="86"/>
    </i>
    <i>
      <x v="26"/>
    </i>
    <i>
      <x v="412"/>
    </i>
    <i>
      <x v="470"/>
    </i>
    <i>
      <x v="283"/>
    </i>
    <i>
      <x v="340"/>
    </i>
    <i>
      <x v="358"/>
    </i>
    <i>
      <x v="371"/>
    </i>
    <i>
      <x v="83"/>
    </i>
    <i>
      <x v="75"/>
    </i>
    <i>
      <x v="453"/>
    </i>
    <i>
      <x v="143"/>
    </i>
    <i>
      <x v="98"/>
    </i>
    <i>
      <x v="89"/>
    </i>
    <i>
      <x v="435"/>
    </i>
    <i>
      <x v="166"/>
    </i>
    <i>
      <x v="158"/>
    </i>
    <i>
      <x v="503"/>
    </i>
    <i>
      <x v="491"/>
    </i>
    <i>
      <x v="196"/>
    </i>
    <i>
      <x v="456"/>
    </i>
    <i>
      <x v="62"/>
    </i>
    <i>
      <x v="362"/>
    </i>
    <i>
      <x v="271"/>
    </i>
    <i>
      <x v="111"/>
    </i>
    <i>
      <x v="368"/>
    </i>
    <i>
      <x v="150"/>
    </i>
    <i>
      <x v="137"/>
    </i>
    <i>
      <x v="345"/>
    </i>
    <i>
      <x v="293"/>
    </i>
    <i>
      <x v="159"/>
    </i>
    <i>
      <x v="413"/>
    </i>
    <i>
      <x v="117"/>
    </i>
    <i>
      <x v="449"/>
    </i>
    <i>
      <x v="274"/>
    </i>
    <i>
      <x v="107"/>
    </i>
    <i>
      <x v="333"/>
    </i>
    <i>
      <x v="59"/>
    </i>
    <i>
      <x v="93"/>
    </i>
    <i>
      <x v="351"/>
    </i>
    <i>
      <x v="110"/>
    </i>
    <i>
      <x v="417"/>
    </i>
    <i>
      <x v="19"/>
    </i>
    <i>
      <x v="212"/>
    </i>
    <i>
      <x v="43"/>
    </i>
    <i>
      <x v="2"/>
    </i>
    <i>
      <x v="63"/>
    </i>
    <i>
      <x v="379"/>
    </i>
    <i>
      <x v="286"/>
    </i>
    <i>
      <x v="228"/>
    </i>
    <i>
      <x v="487"/>
    </i>
    <i>
      <x v="112"/>
    </i>
    <i>
      <x v="246"/>
    </i>
    <i>
      <x v="354"/>
    </i>
    <i>
      <x v="90"/>
    </i>
    <i>
      <x v="20"/>
    </i>
    <i>
      <x v="94"/>
    </i>
    <i>
      <x v="472"/>
    </i>
    <i>
      <x v="128"/>
    </i>
    <i>
      <x v="265"/>
    </i>
    <i>
      <x v="334"/>
    </i>
    <i>
      <x v="73"/>
    </i>
    <i>
      <x v="227"/>
    </i>
    <i>
      <x v="102"/>
    </i>
    <i>
      <x v="184"/>
    </i>
    <i>
      <x v="82"/>
    </i>
    <i>
      <x v="126"/>
    </i>
    <i>
      <x v="217"/>
    </i>
    <i>
      <x v="367"/>
    </i>
    <i>
      <x v="291"/>
    </i>
    <i>
      <x v="366"/>
    </i>
    <i>
      <x v="99"/>
    </i>
    <i>
      <x v="113"/>
    </i>
    <i>
      <x v="498"/>
    </i>
    <i>
      <x v="482"/>
    </i>
    <i>
      <x v="129"/>
    </i>
    <i>
      <x v="203"/>
    </i>
    <i>
      <x v="209"/>
    </i>
    <i>
      <x v="475"/>
    </i>
    <i>
      <x v="270"/>
    </i>
    <i>
      <x v="266"/>
    </i>
    <i>
      <x v="386"/>
    </i>
    <i>
      <x v="258"/>
    </i>
    <i>
      <x v="236"/>
    </i>
    <i>
      <x v="175"/>
    </i>
    <i>
      <x v="124"/>
    </i>
    <i>
      <x v="331"/>
    </i>
    <i>
      <x v="198"/>
    </i>
    <i>
      <x v="374"/>
    </i>
    <i>
      <x v="119"/>
    </i>
    <i>
      <x v="69"/>
    </i>
    <i>
      <x v="425"/>
    </i>
    <i>
      <x v="264"/>
    </i>
    <i>
      <x v="6"/>
    </i>
    <i>
      <x v="388"/>
    </i>
    <i>
      <x v="385"/>
    </i>
    <i>
      <x v="226"/>
    </i>
    <i>
      <x v="315"/>
    </i>
    <i>
      <x v="277"/>
    </i>
    <i>
      <x v="29"/>
    </i>
    <i>
      <x v="257"/>
    </i>
    <i>
      <x v="295"/>
    </i>
    <i>
      <x v="87"/>
    </i>
    <i>
      <x v="249"/>
    </i>
    <i>
      <x v="427"/>
    </i>
    <i>
      <x v="465"/>
    </i>
    <i>
      <x v="224"/>
    </i>
    <i>
      <x v="80"/>
    </i>
    <i>
      <x v="308"/>
    </i>
    <i>
      <x v="339"/>
    </i>
    <i>
      <x v="232"/>
    </i>
    <i>
      <x v="327"/>
    </i>
    <i>
      <x v="273"/>
    </i>
    <i>
      <x v="452"/>
    </i>
    <i>
      <x v="52"/>
    </i>
    <i>
      <x v="253"/>
    </i>
    <i>
      <x v="302"/>
    </i>
    <i>
      <x v="488"/>
    </i>
    <i>
      <x v="151"/>
    </i>
    <i>
      <x v="457"/>
    </i>
    <i>
      <x v="135"/>
    </i>
    <i>
      <x v="433"/>
    </i>
    <i>
      <x v="402"/>
    </i>
    <i>
      <x v="396"/>
    </i>
    <i>
      <x v="44"/>
    </i>
    <i>
      <x v="446"/>
    </i>
    <i>
      <x v="407"/>
    </i>
    <i>
      <x v="418"/>
    </i>
    <i>
      <x v="4"/>
    </i>
    <i>
      <x v="309"/>
    </i>
    <i>
      <x v="76"/>
    </i>
    <i>
      <x v="409"/>
    </i>
    <i>
      <x v="390"/>
    </i>
    <i>
      <x v="173"/>
    </i>
    <i>
      <x v="269"/>
    </i>
    <i>
      <x v="66"/>
    </i>
    <i>
      <x v="262"/>
    </i>
    <i>
      <x v="144"/>
    </i>
    <i>
      <x v="441"/>
    </i>
    <i>
      <x v="382"/>
    </i>
    <i>
      <x v="341"/>
    </i>
    <i>
      <x v="192"/>
    </i>
    <i>
      <x v="148"/>
    </i>
    <i>
      <x v="397"/>
    </i>
    <i>
      <x v="27"/>
    </i>
    <i>
      <x v="438"/>
    </i>
    <i>
      <x v="361"/>
    </i>
    <i>
      <x v="88"/>
    </i>
    <i>
      <x v="414"/>
    </i>
    <i>
      <x v="350"/>
    </i>
    <i>
      <x v="233"/>
    </i>
    <i>
      <x v="242"/>
    </i>
    <i>
      <x v="48"/>
    </i>
    <i>
      <x v="213"/>
    </i>
    <i>
      <x v="454"/>
    </i>
    <i>
      <x v="39"/>
    </i>
    <i>
      <x v="486"/>
    </i>
    <i>
      <x v="404"/>
    </i>
    <i>
      <x v="188"/>
    </i>
    <i>
      <x v="197"/>
    </i>
    <i>
      <x v="338"/>
    </i>
    <i>
      <x v="50"/>
    </i>
    <i>
      <x v="17"/>
    </i>
    <i>
      <x v="406"/>
    </i>
    <i>
      <x v="70"/>
    </i>
    <i>
      <x v="3"/>
    </i>
    <i>
      <x v="424"/>
    </i>
    <i>
      <x v="32"/>
    </i>
    <i>
      <x v="37"/>
    </i>
    <i>
      <x v="299"/>
    </i>
    <i>
      <x v="322"/>
    </i>
    <i>
      <x v="68"/>
    </i>
    <i>
      <x v="469"/>
    </i>
    <i>
      <x v="316"/>
    </i>
    <i>
      <x v="97"/>
    </i>
    <i>
      <x v="303"/>
    </i>
    <i>
      <x v="181"/>
    </i>
    <i>
      <x v="285"/>
    </i>
    <i>
      <x v="378"/>
    </i>
    <i>
      <x v="187"/>
    </i>
    <i>
      <x v="225"/>
    </i>
    <i>
      <x v="79"/>
    </i>
    <i>
      <x v="324"/>
    </i>
    <i>
      <x v="163"/>
    </i>
    <i>
      <x v="222"/>
    </i>
    <i>
      <x v="13"/>
    </i>
    <i>
      <x v="155"/>
    </i>
    <i>
      <x v="459"/>
    </i>
    <i>
      <x v="318"/>
    </i>
    <i>
      <x v="437"/>
    </i>
    <i>
      <x v="38"/>
    </i>
    <i>
      <x v="85"/>
    </i>
    <i>
      <x v="467"/>
    </i>
    <i>
      <x v="138"/>
    </i>
    <i>
      <x v="392"/>
    </i>
    <i>
      <x/>
    </i>
    <i>
      <x v="121"/>
    </i>
    <i>
      <x v="447"/>
    </i>
    <i>
      <x v="458"/>
    </i>
    <i>
      <x v="260"/>
    </i>
    <i>
      <x v="67"/>
    </i>
    <i>
      <x v="320"/>
    </i>
    <i>
      <x v="306"/>
    </i>
    <i>
      <x v="419"/>
    </i>
    <i>
      <x v="357"/>
    </i>
    <i>
      <x v="33"/>
    </i>
    <i>
      <x v="115"/>
    </i>
    <i>
      <x v="448"/>
    </i>
    <i>
      <x v="443"/>
    </i>
    <i>
      <x v="8"/>
    </i>
    <i>
      <x v="162"/>
    </i>
    <i>
      <x v="178"/>
    </i>
    <i>
      <x v="426"/>
    </i>
    <i>
      <x v="179"/>
    </i>
    <i>
      <x v="348"/>
    </i>
    <i>
      <x v="499"/>
    </i>
    <i>
      <x v="353"/>
    </i>
    <i>
      <x v="281"/>
    </i>
    <i>
      <x v="434"/>
    </i>
    <i>
      <x v="131"/>
    </i>
    <i>
      <x v="165"/>
    </i>
    <i>
      <x v="307"/>
    </i>
    <i>
      <x v="81"/>
    </i>
    <i>
      <x v="393"/>
    </i>
    <i>
      <x v="360"/>
    </i>
    <i>
      <x v="152"/>
    </i>
    <i>
      <x v="134"/>
    </i>
    <i>
      <x v="157"/>
    </i>
    <i>
      <x v="202"/>
    </i>
    <i>
      <x v="53"/>
    </i>
    <i>
      <x v="363"/>
    </i>
    <i>
      <x v="383"/>
    </i>
    <i>
      <x v="141"/>
    </i>
    <i>
      <x v="219"/>
    </i>
    <i>
      <x v="84"/>
    </i>
    <i>
      <x v="343"/>
    </i>
    <i>
      <x v="389"/>
    </i>
    <i>
      <x v="167"/>
    </i>
    <i>
      <x v="321"/>
    </i>
    <i>
      <x v="193"/>
    </i>
    <i>
      <x v="234"/>
    </i>
    <i>
      <x v="176"/>
    </i>
    <i>
      <x v="154"/>
    </i>
    <i>
      <x v="292"/>
    </i>
    <i>
      <x v="64"/>
    </i>
    <i>
      <x v="344"/>
    </i>
    <i>
      <x v="171"/>
    </i>
    <i>
      <x v="139"/>
    </i>
    <i>
      <x v="56"/>
    </i>
    <i>
      <x v="229"/>
    </i>
    <i>
      <x v="211"/>
    </i>
    <i>
      <x v="172"/>
    </i>
    <i>
      <x v="468"/>
    </i>
    <i>
      <x v="101"/>
    </i>
    <i>
      <x v="408"/>
    </i>
    <i>
      <x v="216"/>
    </i>
    <i>
      <x v="326"/>
    </i>
    <i>
      <x v="330"/>
    </i>
    <i>
      <x v="428"/>
    </i>
    <i>
      <x v="342"/>
    </i>
    <i>
      <x v="364"/>
    </i>
    <i>
      <x v="484"/>
    </i>
    <i>
      <x v="218"/>
    </i>
    <i>
      <x v="493"/>
    </i>
    <i>
      <x v="471"/>
    </i>
    <i>
      <x v="377"/>
    </i>
    <i>
      <x v="114"/>
    </i>
    <i>
      <x v="261"/>
    </i>
    <i>
      <x v="298"/>
    </i>
    <i>
      <x v="54"/>
    </i>
    <i>
      <x v="125"/>
    </i>
    <i>
      <x v="431"/>
    </i>
    <i>
      <x v="255"/>
    </i>
    <i>
      <x v="478"/>
    </i>
    <i>
      <x v="365"/>
    </i>
    <i>
      <x v="352"/>
    </i>
    <i>
      <x v="177"/>
    </i>
    <i>
      <x v="461"/>
    </i>
    <i>
      <x v="463"/>
    </i>
    <i>
      <x v="194"/>
    </i>
    <i>
      <x v="77"/>
    </i>
    <i>
      <x v="387"/>
    </i>
    <i>
      <x v="280"/>
    </i>
    <i>
      <x v="313"/>
    </i>
    <i>
      <x v="440"/>
    </i>
    <i>
      <x v="244"/>
    </i>
    <i>
      <x v="276"/>
    </i>
    <i>
      <x v="108"/>
    </i>
    <i>
      <x v="442"/>
    </i>
    <i>
      <x v="445"/>
    </i>
    <i>
      <x v="240"/>
    </i>
    <i>
      <x v="191"/>
    </i>
    <i>
      <x v="55"/>
    </i>
    <i>
      <x v="349"/>
    </i>
    <i t="grand">
      <x/>
    </i>
  </rowItems>
  <colItems count="1">
    <i/>
  </colItems>
  <dataFields count="1">
    <dataField name="Change in Price" fld="6" baseField="0" baseItem="0" numFmtId="44"/>
  </dataFields>
  <formats count="4">
    <format dxfId="12">
      <pivotArea outline="0" collapsedLevelsAreSubtotals="1" fieldPosition="0"/>
    </format>
    <format dxfId="11">
      <pivotArea dataOnly="0" labelOnly="1" outline="0" fieldPosition="0">
        <references count="1">
          <reference field="4294967294" count="1">
            <x v="0"/>
          </reference>
        </references>
      </pivotArea>
    </format>
    <format dxfId="10">
      <pivotArea outline="0" collapsedLevelsAreSubtotals="1" fieldPosition="0"/>
    </format>
    <format dxfId="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684B4BC2-B19A-430D-9D15-6D0F224EB002}" autoFormatId="16" applyNumberFormats="0" applyBorderFormats="0" applyFontFormats="0" applyPatternFormats="0" applyAlignmentFormats="0" applyWidthHeightFormats="0">
  <queryTableRefresh nextId="15" unboundColumnsRight="2">
    <queryTableFields count="10">
      <queryTableField id="1" name="#" tableColumnId="1"/>
      <queryTableField id="2" name="Company" tableColumnId="2"/>
      <queryTableField id="3" name="Symbol" tableColumnId="3"/>
      <queryTableField id="8" dataBound="0" tableColumnId="8"/>
      <queryTableField id="4" name="Weight" tableColumnId="4"/>
      <queryTableField id="5" name="Price" tableColumnId="5"/>
      <queryTableField id="6" name="Chg" tableColumnId="6"/>
      <queryTableField id="7" name="% Chg" tableColumnId="7"/>
      <queryTableField id="11" dataBound="0" tableColumnId="11"/>
      <queryTableField id="12" dataBound="0" tableColumnId="12"/>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1581">
  <rv s="0">
    <v>https://www.bing.com/financeapi/forcetrigger?t=a1mou2&amp;q=XNAS%3aAAPL&amp;form=skydnc</v>
    <v>Learn more on Bing</v>
  </rv>
  <rv s="1">
    <v>en-US</v>
    <v>a1mou2</v>
    <v>268435456</v>
    <v>1</v>
    <v>Powered by Refinitiv</v>
    <v>0</v>
    <v>APPLE INC. (XNAS:AAPL)</v>
    <v>2</v>
    <v>3</v>
    <v>Finance</v>
    <v>4</v>
    <v>182.94</v>
    <v>129.04</v>
    <v>1.2329000000000001</v>
    <v>-4.665</v>
    <v>-3.4440999999999999E-2</v>
    <v>USD</v>
    <v>Apple Inc. (Apple) designs, manufactures and markets smartphones, personal computers, tablets, wearables and accessories and sells a range of related services. The Company’s products include iPhone, Mac, iPad, AirPods, Apple TV, Apple Watch, Beats products, HomePod, iPod touch and accessories. The Company operates various platforms, including the App Store, which allows customers to discover and download applications and digital content, such as books, music, video, games and podcasts. Apple offers digital content through subscription-based services, including Apple Arcade, Apple Music, Apple News+, Apple TV+ and Apple Fitness+. Apple also offers a range of other services, such as AppleCare, iCloud, Apple Card and Apple Pay. Apple sells its products and resells third-party products in a range of markets, including directly to consumers, small and mid-sized businesses, and education, enterprise and government customers through its retail and online stores and its direct sales force.</v>
    <v>164000</v>
    <v>Nasdaq Stock Market</v>
    <v>XNAS</v>
    <v>XNAS</v>
    <v>One Apple Park Way, CUPERTINO, CA, 95014 US</v>
    <v>134.55000000000001</v>
    <v>Computers, Phones &amp; Household Electronics</v>
    <v>Stock</v>
    <v>44917.737092210155</v>
    <v>0</v>
    <v>130.69999999999999</v>
    <v>2080543474200</v>
    <v>APPLE INC.</v>
    <v>APPLE INC.</v>
    <v>134.29</v>
    <v>22.197299999999998</v>
    <v>135.44999999999999</v>
    <v>130.785</v>
    <v>15908120000</v>
    <v>AAPL</v>
    <v>APPLE INC. (XNAS:AAPL)</v>
    <v>35790936</v>
    <v>76593363</v>
    <v>1977</v>
  </rv>
  <rv s="2">
    <v>1</v>
  </rv>
  <rv s="0">
    <v>http://en.wikipedia.org/wiki/Public_domain</v>
    <v>Public domain</v>
  </rv>
  <rv s="0">
    <v>https://en.wikipedia.org/wiki/Microsoft</v>
    <v>Wikipedia</v>
  </rv>
  <rv s="3">
    <v>3</v>
    <v>4</v>
  </rv>
  <rv s="4">
    <v>9</v>
    <v>https://www.bing.com/th?id=AMMS_e6e837c7bf3a77408619758b7447855a&amp;qlt=95</v>
    <v>5</v>
    <v>0</v>
    <v>https://www.bing.com/images/search?form=xlimg&amp;q=microsoft</v>
    <v>Image of MICROSOFT CORPORATION</v>
  </rv>
  <rv s="0">
    <v>https://www.bing.com/financeapi/forcetrigger?t=a1xzim&amp;q=XNAS%3aMSFT&amp;form=skydnc</v>
    <v>Learn more on Bing</v>
  </rv>
  <rv s="5">
    <v>en-US</v>
    <v>a1xzim</v>
    <v>268435456</v>
    <v>1</v>
    <v>Powered by Refinitiv</v>
    <v>5</v>
    <v>MICROSOFT CORPORATION (XNAS:MSFT)</v>
    <v>7</v>
    <v>8</v>
    <v>Finance</v>
    <v>4</v>
    <v>344.3</v>
    <v>213.43100000000001</v>
    <v>0.93600000000000005</v>
    <v>-9.52</v>
    <v>-3.8948000000000003E-2</v>
    <v>USD</v>
    <v>Microsoft Corporation is a technology company. The Company develops and supports software, services, devices, and solutions. Its segments include Productivity and Business Processes, Intelligent Cloud, and More Personal Computing. The Productivity and Business Processes segment consists of products and services in its portfolio of productivity, communication, and information services, spanning a variety of devices and platforms. This segment includes Office Consumer, LinkedIn, dynamics business solutions, and Office Commercial. The Intelligent Cloud segment consists of public, private, and hybrid server products and cloud services that can power modern businesses and developers. This segment includes server products and cloud services, and enterprise services. The More Personal Computing segment consists of products and services that put customers at the centre of the experience with its technology. This segment includes Windows, devices, gaming, and search and news advertising.</v>
    <v>221000</v>
    <v>Nasdaq Stock Market</v>
    <v>XNAS</v>
    <v>XNAS</v>
    <v>One Microsoft Way, REDMOND, WA, 98052-6399 US</v>
    <v>241.99</v>
    <v>6</v>
    <v>Software &amp; IT Services</v>
    <v>Stock</v>
    <v>44917.737106446097</v>
    <v>7</v>
    <v>234.72</v>
    <v>1751130252430</v>
    <v>MICROSOFT CORPORATION</v>
    <v>MICROSOFT CORPORATION</v>
    <v>241.38</v>
    <v>26.338200000000001</v>
    <v>244.43</v>
    <v>234.91</v>
    <v>7454473000</v>
    <v>MSFT</v>
    <v>MICROSOFT CORPORATION (XNAS:MSFT)</v>
    <v>11565626</v>
    <v>28224548</v>
    <v>1993</v>
  </rv>
  <rv s="2">
    <v>8</v>
  </rv>
  <rv s="0">
    <v>https://www.bing.com/financeapi/forcetrigger?t=a1nhlh&amp;q=XNAS%3aAMZN&amp;form=skydnc</v>
    <v>Learn more on Bing</v>
  </rv>
  <rv s="1">
    <v>en-US</v>
    <v>a1nhlh</v>
    <v>268435456</v>
    <v>1</v>
    <v>Powered by Refinitiv</v>
    <v>0</v>
    <v>AMAZON.COM, INC. (XNAS:AMZN)</v>
    <v>2</v>
    <v>3</v>
    <v>Finance</v>
    <v>4</v>
    <v>172.94300000000001</v>
    <v>82.584400000000002</v>
    <v>1.21</v>
    <v>-4.1738</v>
    <v>-4.8101999999999999E-2</v>
    <v>USD</v>
    <v>Amazon.com, Inc. provides a range of products and services to customers. The products offered through its stores include merchandise and content that it purchased for resale and products offered by third-party sellers. It also manufactures and sells electronic devices, including Kindle, Fire tablet, Fire TV, Echo, and Ring, and it develops and produces media content. It operates through three segments: North America, International and Amazon Web Services (AWS). The AWS segment consists of global sales of compute, storage, database, and other services for start-ups, enterprises, government agencies, and academic institutions. It provides advertising services to sellers, vendors, publishers, authors, and others, through programs, such as sponsored advertisements, display, and video advertising. It serves consumers through its online and physical stores. Customers access its offerings through websites, mobile applications, Alexa, devices, streaming, and physically visiting its stores.</v>
    <v>1544000</v>
    <v>Nasdaq Stock Market</v>
    <v>XNAS</v>
    <v>XNAS</v>
    <v>410 Terry Ave N, SEATTLE, WA, 98109 US</v>
    <v>85.68</v>
    <v>Diversified Retail</v>
    <v>Stock</v>
    <v>44917.737134178125</v>
    <v>10</v>
    <v>82.584400000000002</v>
    <v>885197600000</v>
    <v>AMAZON.COM, INC.</v>
    <v>AMAZON.COM, INC.</v>
    <v>85.45</v>
    <v>80.0745</v>
    <v>86.77</v>
    <v>82.596199999999996</v>
    <v>10201650000</v>
    <v>AMZN</v>
    <v>AMAZON.COM, INC. (XNAS:AMZN)</v>
    <v>36754986</v>
    <v>76195370</v>
    <v>1996</v>
  </rv>
  <rv s="2">
    <v>11</v>
  </rv>
  <rv s="0">
    <v>https://www.bing.com/financeapi/forcetrigger?t=a1otrw&amp;q=XNYS%3aBRK.B&amp;form=skydnc</v>
    <v>Learn more on Bing</v>
  </rv>
  <rv s="1">
    <v>en-US</v>
    <v>a1otrw</v>
    <v>268435456</v>
    <v>1</v>
    <v>Powered by Refinitiv</v>
    <v>0</v>
    <v>BERKSHIRE HATHAWAY INC., (XNYS:BRK.B)</v>
    <v>2</v>
    <v>3</v>
    <v>Finance</v>
    <v>4</v>
    <v>362.1</v>
    <v>259.85000000000002</v>
    <v>0.91410000000000002</v>
    <v>-8.5500000000000007</v>
    <v>-2.7776000000000002E-2</v>
    <v>USD</v>
    <v>Berkshire Hathaway Inc. is a holding company owning subsidiaries engaged in various business activities, including insurance and reinsurance, utilities and energy, freight rail transportation, manufacturing and retailing. Its segments include Insurance, such as GEICO, Berkshire Hathaway Primary Group and Berkshire Hathaway Reinsurance Group; Burlington Northern Santa Fe, LLC, which is engaged in the operation of the railroad system; Berkshire Hathaway Energy, which includes regulated electric and gas utility; Manufacturing, which includes manufacturers of various products, including industrial, consumer and building products; McLane Company, which is engaged in the wholesale distribution of groceries and non-food items; Service and retailing, which includes providers of various services, including shared aircraft ownership programs, aviation pilot training, electronic components distribution and various retailing businesses, including automobile dealerships and furniture leasing.</v>
    <v>372000</v>
    <v>New York Stock Exchange</v>
    <v>XNYS</v>
    <v>XNYS</v>
    <v>3555 Farnam St, OMAHA, NE, 68131 US</v>
    <v>306.5</v>
    <v>Consumer Goods Conglomerates</v>
    <v>Stock</v>
    <v>44917.737134409377</v>
    <v>13</v>
    <v>299.07</v>
    <v>679588500000</v>
    <v>BERKSHIRE HATHAWAY INC.,</v>
    <v>BERKSHIRE HATHAWAY INC.,</v>
    <v>306.47000000000003</v>
    <v>58.405200000000001</v>
    <v>307.82</v>
    <v>299.27</v>
    <v>1464240</v>
    <v>BRK.B</v>
    <v>BERKSHIRE HATHAWAY INC., (XNYS:BRK.B)</v>
    <v>1467432</v>
    <v>3915656</v>
    <v>1998</v>
  </rv>
  <rv s="2">
    <v>14</v>
  </rv>
  <rv s="0">
    <v>https://www.bing.com/financeapi/forcetrigger?t=a1u3rw&amp;q=XNAS%3aGOOGL&amp;form=skydnc</v>
    <v>Learn more on Bing</v>
  </rv>
  <rv s="1">
    <v>en-US</v>
    <v>a1u3rw</v>
    <v>268435456</v>
    <v>1</v>
    <v>Powered by Refinitiv</v>
    <v>0</v>
    <v>ALPHABET INC. (XNAS:GOOGL)</v>
    <v>2</v>
    <v>3</v>
    <v>Finance</v>
    <v>4</v>
    <v>151.54660000000001</v>
    <v>83.34</v>
    <v>1.0815999999999999</v>
    <v>-2.75</v>
    <v>-3.0699000000000001E-2</v>
    <v>USD</v>
    <v>Alphabet Inc. is a holding company. The Company's segments include Google Services, Google Cloud, and Other Bets. The Google Services segment includes products and services such as ads, Android, Chrome, hardware, Google Maps, Google Play, Search, and YouTube. The Google Cloud segment includes Google's infrastructure and platform services, collaboration tools, and other services for enterprise customers. The Other Bets segment includes earlier stage technologies that are further afield from its core Google business, and it includes the sale of health technology and Internet services. Its Google Cloud provides enterprise-ready cloud services, including Google Cloud Platform and Google Workspace. Google Cloud Platform enables developers to build, test, and deploy applications on its infrastructure. The Company's Google Workspace collaboration tools include applications, such as Gmail, Docs, Drive, Calendar, Meet, and various others. The Company also has various hardware products.</v>
    <v>186779</v>
    <v>Nasdaq Stock Market</v>
    <v>XNAS</v>
    <v>XNAS</v>
    <v>1600 Amphitheatre Pkwy, MOUNTAIN VIEW, CA, 94043-1351 US</v>
    <v>88.54</v>
    <v>Software &amp; IT Services</v>
    <v>Stock</v>
    <v>44917.737108853908</v>
    <v>16</v>
    <v>86.77</v>
    <v>1163512000000</v>
    <v>ALPHABET INC.</v>
    <v>ALPHABET INC.</v>
    <v>88.26</v>
    <v>17.791499999999999</v>
    <v>89.58</v>
    <v>86.83</v>
    <v>12943000000</v>
    <v>GOOGL</v>
    <v>ALPHABET INC. (XNAS:GOOGL)</v>
    <v>10875845</v>
    <v>28489298</v>
    <v>2015</v>
  </rv>
  <rv s="2">
    <v>17</v>
  </rv>
  <rv s="0">
    <v>https://www.bing.com/financeapi/forcetrigger?t=a24xlh&amp;q=XNYS%3aUNH&amp;form=skydnc</v>
    <v>Learn more on Bing</v>
  </rv>
  <rv s="1">
    <v>en-US</v>
    <v>a24xlh</v>
    <v>268435456</v>
    <v>1</v>
    <v>Powered by Refinitiv</v>
    <v>0</v>
    <v>UNITEDHEALTH GROUP INCORPORATED (XNYS:UNH)</v>
    <v>2</v>
    <v>3</v>
    <v>Finance</v>
    <v>4</v>
    <v>558.1</v>
    <v>445.73500000000001</v>
    <v>0.73839999999999995</v>
    <v>-3.8898999999999999</v>
    <v>-7.3740000000000003E-3</v>
    <v>USD</v>
    <v>UnitedHealth Group Incorporated is a diversified health care company that operates Optum and UnitedHealthcare platforms. The Company’s segments include Optum Health, Optum Insight, Optum Rx and UnitedHealthcare. Optum Health provides health and wellness care, addressing the physical, emotional and health-related financial needs. Optum Health, through its national health care delivery platform, engages people in care settings, including clinical sites, in-home and virtual. Optum Insight serves the needs of health systems, such as physicians and hospital systems, health plans, state governments and life sciences companies. Optum Rx provides a range of pharmacy care services through retail pharmacies, specialty and community health pharmacies and provides in-home and community-based infusion services. UnitedHealthcare segment includes UnitedHealthcare Employer &amp; Individual, UnitedHealthcare Medicare &amp; Retirement, UnitedHealthcare Community &amp; State and UnitedHealthcare Global.</v>
    <v>350000</v>
    <v>New York Stock Exchange</v>
    <v>XNYS</v>
    <v>XNYS</v>
    <v>9900 Bren Rd E, HOPKINS, MN, 55343-9664 US</v>
    <v>528.79999999999995</v>
    <v>Healthcare Providers &amp; Services</v>
    <v>Stock</v>
    <v>44917.737112117968</v>
    <v>19</v>
    <v>523.34</v>
    <v>489271999649</v>
    <v>UNITEDHEALTH GROUP INCORPORATED</v>
    <v>UNITEDHEALTH GROUP INCORPORATED</v>
    <v>525.98</v>
    <v>25.840499999999999</v>
    <v>527.54</v>
    <v>523.65009999999995</v>
    <v>934349100</v>
    <v>UNH</v>
    <v>UNITEDHEALTH GROUP INCORPORATED (XNYS:UNH)</v>
    <v>664645</v>
    <v>3227626</v>
    <v>2015</v>
  </rv>
  <rv s="2">
    <v>20</v>
  </rv>
  <rv s="0">
    <v>https://www.bing.com/financeapi/forcetrigger?t=a1u3p2&amp;q=XNAS%3aGOOG&amp;form=skydnc</v>
    <v>Learn more on Bing</v>
  </rv>
  <rv s="1">
    <v>en-US</v>
    <v>a1u3p2</v>
    <v>268435456</v>
    <v>1</v>
    <v>Powered by Refinitiv</v>
    <v>0</v>
    <v>ALPHABET INC. (XNAS:GOOG)</v>
    <v>2</v>
    <v>3</v>
    <v>Finance</v>
    <v>4</v>
    <v>152.1</v>
    <v>83.45</v>
    <v>1.0815999999999999</v>
    <v>-2.78</v>
    <v>-3.0802999999999997E-2</v>
    <v>USD</v>
    <v>Alphabet Inc. is a holding company. The Company's segments include Google Services, Google Cloud, and Other Bets. The Google Services segment includes products and services such as ads, Android, Chrome, hardware, Google Maps, Google Play, Search, and YouTube. The Google Cloud segment includes Google's infrastructure and platform services, collaboration tools, and other services for enterprise customers. The Other Bets segment includes earlier stage technologies that are further afield from its core Google business, and it includes the sale of health technology and Internet services. Its Google Cloud provides enterprise-ready cloud services, including Google Cloud Platform and Google Workspace. Google Cloud Platform enables developers to build, test, and deploy applications on its infrastructure. The Company's Google Workspace collaboration tools include applications, such as Gmail, Docs, Drive, Calendar, Meet, and various others. The Company also has various hardware products.</v>
    <v>186779</v>
    <v>Nasdaq Stock Market</v>
    <v>XNAS</v>
    <v>XNAS</v>
    <v>1600 Amphitheatre Pkwy, MOUNTAIN VIEW, CA, 94043-1351 US</v>
    <v>89.18</v>
    <v>Software &amp; IT Services</v>
    <v>Stock</v>
    <v>44917.737134443749</v>
    <v>22</v>
    <v>87.39</v>
    <v>1163512000000</v>
    <v>ALPHABET INC.</v>
    <v>ALPHABET INC.</v>
    <v>88.96</v>
    <v>17.9191</v>
    <v>90.25</v>
    <v>87.47</v>
    <v>12943000000</v>
    <v>GOOG</v>
    <v>ALPHABET INC. (XNAS:GOOG)</v>
    <v>9300952</v>
    <v>24061374</v>
    <v>2015</v>
  </rv>
  <rv s="2">
    <v>23</v>
  </rv>
  <rv s="0">
    <v>https://www.bing.com/financeapi/forcetrigger?t=a1w8ec&amp;q=XNYS%3aJNJ&amp;form=skydnc</v>
    <v>Learn more on Bing</v>
  </rv>
  <rv s="1">
    <v>en-US</v>
    <v>a1w8ec</v>
    <v>268435456</v>
    <v>1</v>
    <v>Powered by Refinitiv</v>
    <v>0</v>
    <v>JOHNSON &amp; JOHNSON (XNYS:JNJ)</v>
    <v>2</v>
    <v>3</v>
    <v>Finance</v>
    <v>4</v>
    <v>186.69</v>
    <v>155.72</v>
    <v>0.55920000000000003</v>
    <v>-1.53</v>
    <v>-8.6110000000000006E-3</v>
    <v>USD</v>
    <v>Johnson &amp; Johnson is a holding company that is engaged in the research and development, manufacture and sale of a range of products in the healthcare field. The Company operates through three segments: Consumer Health, Pharmaceutical and Medical Devices. Its primary focus is products related to human health and well-being. The Consumer Health segment includes a range of products that is focused on personal healthcare used in the skin health/beauty, over-the-counter medicines, baby care, oral care, women’s health and wound care markets. The Pharmaceutical segment is focused on six therapeutic areas: Immunology, Infectious Diseases, Neuroscience, Oncology, Cardiovascular and Metabolism and Pulmonary Hypertension. The Medical Devices segment includes a range of products used in the interventional solutions, orthopaedics, surgery, and vision fields. Its geographic area includes the United States, Europe, Western Hemisphere (excluding the United States), and Africa, Asia and Pacific.</v>
    <v>141700</v>
    <v>New York Stock Exchange</v>
    <v>XNYS</v>
    <v>XNYS</v>
    <v>One Johnson &amp; Johnson Plaza, NEW BRUNSWICK, NJ, 08933 US</v>
    <v>177.5</v>
    <v>Pharmaceuticals</v>
    <v>Stock</v>
    <v>44917.737118147656</v>
    <v>25</v>
    <v>176.12</v>
    <v>460541356600</v>
    <v>JOHNSON &amp; JOHNSON</v>
    <v>JOHNSON &amp; JOHNSON</v>
    <v>176.66499999999999</v>
    <v>24.736699999999999</v>
    <v>177.68</v>
    <v>176.15</v>
    <v>2614484000</v>
    <v>JNJ</v>
    <v>JOHNSON &amp; JOHNSON (XNYS:JNJ)</v>
    <v>1624588</v>
    <v>6768417</v>
    <v>1887</v>
  </rv>
  <rv s="2">
    <v>26</v>
  </rv>
  <rv s="0">
    <v>https://www.bing.com/financeapi/forcetrigger?t=a269ec&amp;q=XNYS%3aXOM&amp;form=skydnc</v>
    <v>Learn more on Bing</v>
  </rv>
  <rv s="1">
    <v>en-US</v>
    <v>a269ec</v>
    <v>268435456</v>
    <v>1</v>
    <v>Powered by Refinitiv</v>
    <v>0</v>
    <v>EXXON MOBIL CORPORATION (XNYS:XOM)</v>
    <v>2</v>
    <v>3</v>
    <v>Finance</v>
    <v>4</v>
    <v>114.66419999999999</v>
    <v>59.97</v>
    <v>1.1096999999999999</v>
    <v>-2.86</v>
    <v>-2.6467000000000001E-2</v>
    <v>USD</v>
    <v>Exxon Mobil Corporation is engaged in energy business. The Company’s principal business involves exploration for, and production of, crude oil and natural gas, and the manufacture, trade, transport and sale of crude oil, natural gas, petroleum products, petrochemicals and a range of specialty products. The Company's segments include Upstream, Downstream and Chemical. The Upstream segment is organized and operates to explore for and produce crude oil and natural gas. The Downstream segment manufactures, trades and sells petroleum products. The refining and supply operations encompass a global network of manufacturing plants, transportation systems, and distribution centers that provide a range of fuels, lubricants and other products and feedstocks to its customers around the world. The Chemical segment is organized and operates to manufacture and sell petrochemicals. The Chemical business supplies olefins, polyolefins, aromatics, and a variety of other petrochemicals.</v>
    <v>63000</v>
    <v>New York Stock Exchange</v>
    <v>XNYS</v>
    <v>XNYS</v>
    <v>5959 LAS COLINAS BLVD, IRVING, TX, 75039-2298 US</v>
    <v>108.19</v>
    <v>Oil &amp; Gas</v>
    <v>Stock</v>
    <v>44917.737097985941</v>
    <v>28</v>
    <v>105.1</v>
    <v>433213600000</v>
    <v>EXXON MOBIL CORPORATION</v>
    <v>EXXON MOBIL CORPORATION</v>
    <v>108.07</v>
    <v>8.8129000000000008</v>
    <v>108.06</v>
    <v>105.2</v>
    <v>4118000000</v>
    <v>XOM</v>
    <v>EXXON MOBIL CORPORATION (XNYS:XOM)</v>
    <v>4850018</v>
    <v>18648095</v>
    <v>1882</v>
  </rv>
  <rv s="2">
    <v>29</v>
  </rv>
  <rv s="0">
    <v>https://www.bing.com/financeapi/forcetrigger?t=a1yv52&amp;q=XNAS%3aNVDA&amp;form=skydnc</v>
    <v>Learn more on Bing</v>
  </rv>
  <rv s="1">
    <v>en-US</v>
    <v>a1yv52</v>
    <v>268435456</v>
    <v>1</v>
    <v>Powered by Refinitiv</v>
    <v>0</v>
    <v>NVIDIA CORPORATION (XNAS:NVDA)</v>
    <v>2</v>
    <v>3</v>
    <v>Finance</v>
    <v>4</v>
    <v>313.3</v>
    <v>108.13</v>
    <v>1.7330000000000001</v>
    <v>-15.52</v>
    <v>-9.4055E-2</v>
    <v>USD</v>
    <v>NVIDIA Corporation is a personal computer (PC) gaming market. The Company’s segments include Graphics and Compute &amp; Networking. The Graphics segment includes GeForce graphics processing units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software for building three-dimensional (3D) designs and virtual worlds. The Compute &amp; Networking segment includes Data Center platforms and systems for artificial intelligence (AI), high-performance computing (HPC), and accelerated computing; Mellanox networking and interconnect solutions; automotive AI Cockpit, autonomous driving development agreements, and autonomous vehicle solutions; cryptocurrency mining processors (CMP); Jetson for robotics, and NVIDIA AI Enterprise.</v>
    <v>22473</v>
    <v>Nasdaq Stock Market</v>
    <v>XNAS</v>
    <v>XNAS</v>
    <v>2788 San Tomas Expressway, SANTA CLARA, CA, 95051 US</v>
    <v>161</v>
    <v>Semiconductors &amp; Semiconductor Equipment</v>
    <v>Stock</v>
    <v>44917.737081481253</v>
    <v>31</v>
    <v>149.13999999999999</v>
    <v>367745400000</v>
    <v>NVIDIA CORPORATION</v>
    <v>NVIDIA CORPORATION</v>
    <v>160.68</v>
    <v>70.186599999999999</v>
    <v>165.01</v>
    <v>149.49</v>
    <v>2460000000</v>
    <v>NVDA</v>
    <v>NVIDIA CORPORATION (XNAS:NVDA)</v>
    <v>27922380</v>
    <v>44174104</v>
    <v>1998</v>
  </rv>
  <rv s="2">
    <v>32</v>
  </rv>
  <rv s="0">
    <v>https://www.bing.com/financeapi/forcetrigger?t=a1waa2&amp;q=XNYS%3aJPM&amp;form=skydnc</v>
    <v>Learn more on Bing</v>
  </rv>
  <rv s="1">
    <v>en-US</v>
    <v>a1waa2</v>
    <v>268435456</v>
    <v>1</v>
    <v>Powered by Refinitiv</v>
    <v>0</v>
    <v>JPMORGAN CHASE &amp; CO. (XNYS:JPM)</v>
    <v>2</v>
    <v>3</v>
    <v>Finance</v>
    <v>4</v>
    <v>169.81</v>
    <v>101.28</v>
    <v>1.1272</v>
    <v>-3.55</v>
    <v>-2.6861000000000003E-2</v>
    <v>USD</v>
    <v>JPMorgan Chase &amp; Co. is a financial holding company engaged in investment banking, financial services and asset management. It operates in four segments, as well as a Corporate segment. The Company's segments are Consumer &amp; Community Banking, Corporate &amp; Investment Bank, Commercial Banking and Asset Management. The Consumer &amp; Community Banking segment offers services to consumers and businesses through bank branches, automatic teller machines, online, mobile and telephone banking. The Corporate &amp; Investment Bank segment, comprising Banking and Markets and Investor Services, offers investment banking, market-making, prime brokerage, and treasury and securities products and services to corporations, investors, financial institutions, and government and municipal entities. The Commercial Banking segment provides financial solutions, including lending, treasury services, investment banking and asset management. The Asset Management segment comprises investment and wealth management.</v>
    <v>288474</v>
    <v>New York Stock Exchange</v>
    <v>XNYS</v>
    <v>XNYS</v>
    <v>383 Madison Avenue, NEW YORK, NY, 10179 US</v>
    <v>131.30000000000001</v>
    <v>Banking Services</v>
    <v>Stock</v>
    <v>44917.737102546096</v>
    <v>34</v>
    <v>128.57</v>
    <v>377239495050</v>
    <v>JPMORGAN CHASE &amp; CO.</v>
    <v>JPMORGAN CHASE &amp; CO.</v>
    <v>131.1</v>
    <v>11.158899999999999</v>
    <v>132.16</v>
    <v>128.61000000000001</v>
    <v>2933205000</v>
    <v>JPM</v>
    <v>JPMORGAN CHASE &amp; CO. (XNYS:JPM)</v>
    <v>4243709</v>
    <v>9779825</v>
    <v>1968</v>
  </rv>
  <rv s="2">
    <v>35</v>
  </rv>
  <rv s="0">
    <v>https://www.bing.com/financeapi/forcetrigger?t=a24kar&amp;q=XNAS%3aTSLA&amp;form=skydnc</v>
    <v>Learn more on Bing</v>
  </rv>
  <rv s="1">
    <v>en-US</v>
    <v>a24kar</v>
    <v>268435456</v>
    <v>1</v>
    <v>Powered by Refinitiv</v>
    <v>0</v>
    <v>TESLA, INC. (XNAS:TSLA)</v>
    <v>2</v>
    <v>3</v>
    <v>Finance</v>
    <v>4</v>
    <v>402.66629999999998</v>
    <v>122.26</v>
    <v>1.9930000000000001</v>
    <v>-13.465</v>
    <v>-9.7876999999999992E-2</v>
    <v>USD</v>
    <v>Tesla, Inc. designs, develops, manufactures, sells and leases fully electric vehicles and energy generation and storage systems, and offer services related to its products. The Company's automotive segment includes the design, development, manufacturing, sales, and leasing of electric vehicles as well as sales of automotive regulatory credits. Additionally, the automotive segment is also comprised of services and other, which includes non-warranty after-sales vehicle services, sales of used vehicles, retail merchandise, sales by its acquired subsidiaries to third party customers, and vehicle insurance. Its energy generation and storage segment includes the design, manufacture, installation, sales and leasing of solar energy generation and energy storage products and related services and sales of solar energy systems incentives. Its automotive products include Model 3, Model Y, Model S and Model X. Powerwall and Megapack are its lithium-ion battery energy storage products.</v>
    <v>99290</v>
    <v>Nasdaq Stock Market</v>
    <v>XNAS</v>
    <v>XNAS</v>
    <v>13101 Harold Green Road, AUSTIN, TX, 78725 US</v>
    <v>136.6</v>
    <v>Automobiles &amp; Auto Parts</v>
    <v>Stock</v>
    <v>44917.737110115624</v>
    <v>37</v>
    <v>122.26</v>
    <v>391892811960</v>
    <v>TESLA, INC.</v>
    <v>TESLA, INC.</v>
    <v>136.18</v>
    <v>42.380800000000001</v>
    <v>137.57</v>
    <v>124.105</v>
    <v>3157752000</v>
    <v>TSLA</v>
    <v>TESLA, INC. (XNAS:TSLA)</v>
    <v>122785210</v>
    <v>103273272</v>
    <v>2003</v>
  </rv>
  <rv s="2">
    <v>38</v>
  </rv>
  <rv s="0">
    <v>https://www.bing.com/financeapi/forcetrigger?t=a1zsjc&amp;q=XNYS%3aPG&amp;form=skydnc</v>
    <v>Learn more on Bing</v>
  </rv>
  <rv s="1">
    <v>en-US</v>
    <v>a1zsjc</v>
    <v>268435456</v>
    <v>1</v>
    <v>Powered by Refinitiv</v>
    <v>0</v>
    <v>THE PROCTER &amp; GAMBLE COMPANY (XNYS:PG)</v>
    <v>2</v>
    <v>3</v>
    <v>Finance</v>
    <v>4</v>
    <v>165.35</v>
    <v>122.18</v>
    <v>0.4078</v>
    <v>-0.64</v>
    <v>-4.215E-3</v>
    <v>USD</v>
    <v>The Procter &amp; Gamble Company is focused on providing branded consumer packaged goods to the consumers across the world. The Company operates through five segments: Beauty; Grooming; Health Care; Fabric &amp; Home Care, and Baby, Feminine &amp; Family Care. The Company sells its products through approximately 180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v>
    <v>106000</v>
    <v>New York Stock Exchange</v>
    <v>XNYS</v>
    <v>XNYS</v>
    <v>One Procter &amp; Gamble Plaza, CINCINNATI, OH, 45202 US</v>
    <v>151.97</v>
    <v>Personal &amp; Household Products &amp; Services</v>
    <v>Stock</v>
    <v>44917.737119640624</v>
    <v>40</v>
    <v>150.96</v>
    <v>358298640000</v>
    <v>THE PROCTER &amp; GAMBLE COMPANY</v>
    <v>THE PROCTER &amp; GAMBLE COMPANY</v>
    <v>151.19</v>
    <v>26.321200000000001</v>
    <v>151.84</v>
    <v>151.19999999999999</v>
    <v>2369700000</v>
    <v>PG</v>
    <v>THE PROCTER &amp; GAMBLE COMPANY (XNYS:PG)</v>
    <v>2481642</v>
    <v>6655310</v>
    <v>1905</v>
  </rv>
  <rv s="2">
    <v>41</v>
  </rv>
  <rv s="0">
    <v>https://www.bing.com/financeapi/forcetrigger?t=a256cw&amp;q=XNYS%3aV&amp;form=skydnc</v>
    <v>Learn more on Bing</v>
  </rv>
  <rv s="1">
    <v>en-US</v>
    <v>a256cw</v>
    <v>268435456</v>
    <v>1</v>
    <v>Powered by Refinitiv</v>
    <v>0</v>
    <v>VISA INC. (XNYS:V)</v>
    <v>2</v>
    <v>3</v>
    <v>Finance</v>
    <v>4</v>
    <v>235.85</v>
    <v>174.6</v>
    <v>0.95499999999999996</v>
    <v>-3.31</v>
    <v>-1.6005000000000002E-2</v>
    <v>USD</v>
    <v>Visa Inc. (Visa) is a payments technology company that provides digital payments across more than 200 countries and territories. The Company connects consumers, merchants, financial institutions, businesses, strategic partners and government entities to electronic payments. The Company operates through payment services segment. The Company's transaction processing network, VisaNet, facilitates authorization, clearing and settlement of payment transactions and enables to provide its financial institution and merchant clients a range of products, platforms and value-added services. Its products/services include transaction processing services and Visa-branded payment products. The Company also offers Tink, an open banking platform that enables financial institutions, fintech and merchants to build financial products and services and move money. Tink enables its customers to move money, access aggregated financial data, and use smart financial services such as risk insights, and others.</v>
    <v>26500</v>
    <v>New York Stock Exchange</v>
    <v>XNYS</v>
    <v>XNYS</v>
    <v>P.O. Box 8999, SAN FRANCISCO, CA, 94128-8999 US</v>
    <v>206.65</v>
    <v>Software &amp; IT Services</v>
    <v>Stock</v>
    <v>44917.737119501566</v>
    <v>43</v>
    <v>203.42</v>
    <v>383291232500</v>
    <v>VISA INC.</v>
    <v>VISA INC.</v>
    <v>205.44</v>
    <v>29.586600000000001</v>
    <v>206.81</v>
    <v>203.5</v>
    <v>1883495000</v>
    <v>V</v>
    <v>VISA INC. (XNYS:V)</v>
    <v>1755923</v>
    <v>7527019</v>
    <v>2007</v>
  </rv>
  <rv s="2">
    <v>44</v>
  </rv>
  <rv s="0">
    <v>https://www.bing.com/financeapi/forcetrigger?t=a1uj52&amp;q=XNYS%3aHD&amp;form=skydnc</v>
    <v>Learn more on Bing</v>
  </rv>
  <rv s="1">
    <v>en-US</v>
    <v>a1uj52</v>
    <v>268435456</v>
    <v>1</v>
    <v>Powered by Refinitiv</v>
    <v>0</v>
    <v>THE HOME DEPOT, INC. (XNYS:HD)</v>
    <v>2</v>
    <v>3</v>
    <v>Finance</v>
    <v>4</v>
    <v>417.84460000000001</v>
    <v>264.51</v>
    <v>0.95050000000000001</v>
    <v>-6.7350000000000003</v>
    <v>-2.1089000000000004E-2</v>
    <v>USD</v>
    <v>The Home Depot, Inc. is a home improvement retailer. The Company offers its customers an assortment of building materials, home improvement products, lawn and garden products, decor products, and facilities maintenance, repair and operations products and provides a number of services, including home improvement installation services and tool and equipment rental. It operates approximately 2,316 stores located throughout the United States (U.S.), including the Commonwealth of Puerto Rico and the territories of the U.S. Virgin Islands and Guam; Canada, and Mexico. The Company serves two primary customer groups: do-it-yourself (DIY) Customers and Professional Customers (Pros). DIY Customers include homeowners who purchase products and complete their own projects and installations. Pros are primarily professional renovators/remodelers, general contractors, handymen, property managers, building service contractors and specialty tradesmen, such as electricians, plumbers and painters.</v>
    <v>490600</v>
    <v>New York Stock Exchange</v>
    <v>XNYS</v>
    <v>XNYS</v>
    <v>2455 Paces Ferry Road, ATLANTA, GA, 30339 US</v>
    <v>316.495</v>
    <v>Specialty Retailers</v>
    <v>Stock</v>
    <v>44917.737026967188</v>
    <v>46</v>
    <v>312.13</v>
    <v>318623023250</v>
    <v>THE HOME DEPOT, INC.</v>
    <v>THE HOME DEPOT, INC.</v>
    <v>316.495</v>
    <v>19.2455</v>
    <v>319.36</v>
    <v>312.625</v>
    <v>1019186000</v>
    <v>HD</v>
    <v>THE HOME DEPOT, INC. (XNYS:HD)</v>
    <v>1189410</v>
    <v>4753748</v>
    <v>1978</v>
  </rv>
  <rv s="2">
    <v>47</v>
  </rv>
  <rv s="0">
    <v>https://www.bing.com/financeapi/forcetrigger?t=a1qlz2&amp;q=XNYS%3aCVX&amp;form=skydnc</v>
    <v>Learn more on Bing</v>
  </rv>
  <rv s="1">
    <v>en-US</v>
    <v>a1qlz2</v>
    <v>268435456</v>
    <v>1</v>
    <v>Powered by Refinitiv</v>
    <v>0</v>
    <v>CHEVRON CORPORATION (XNYS:CVX)</v>
    <v>2</v>
    <v>3</v>
    <v>Finance</v>
    <v>4</v>
    <v>189.68</v>
    <v>114.41</v>
    <v>1.1854</v>
    <v>-4.17</v>
    <v>-2.3868999999999998E-2</v>
    <v>USD</v>
    <v>Chevron Corporation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The Upstream segment consists primarily of exploring for, developing and producing crude oil and natural gas; processing, liquefaction, transportation and regasification associated with liquefied natural gas; transporting crude oil by international oil export pipelines; transporting, storage and marketing of natural gas, and a gas-to-liquids plant. The Downstream segment consists primarily of refining of crude oil into petroleum products; marketing of crude oil, refined products and lubricants; manufacturing and marketing of renewable fuels; transporting of crude oil and refined products, and manufacturing and marketing of commodity petrochemicals.</v>
    <v>42595</v>
    <v>New York Stock Exchange</v>
    <v>XNYS</v>
    <v>XNYS</v>
    <v>6001 Bollinger Canyon Rd, SAN RAMON, CA, 94583 US</v>
    <v>175.23</v>
    <v>Oil &amp; Gas</v>
    <v>Stock</v>
    <v>44917.737107036715</v>
    <v>49</v>
    <v>170.38</v>
    <v>329743458670</v>
    <v>CHEVRON CORPORATION</v>
    <v>CHEVRON CORPORATION</v>
    <v>175.23</v>
    <v>9.9387000000000008</v>
    <v>174.7</v>
    <v>170.53</v>
    <v>1933639000</v>
    <v>CVX</v>
    <v>CHEVRON CORPORATION (XNYS:CVX)</v>
    <v>2028694</v>
    <v>8179848</v>
    <v>1926</v>
  </rv>
  <rv s="2">
    <v>50</v>
  </rv>
  <rv s="0">
    <v>https://www.bing.com/financeapi/forcetrigger?t=a1x8w7&amp;q=XNYS%3aMA&amp;form=skydnc</v>
    <v>Learn more on Bing</v>
  </rv>
  <rv s="1">
    <v>en-US</v>
    <v>a1x8w7</v>
    <v>268435456</v>
    <v>1</v>
    <v>Powered by Refinitiv</v>
    <v>0</v>
    <v>MASTERCARD INCORPORATED. (XNYS:MA)</v>
    <v>2</v>
    <v>3</v>
    <v>Finance</v>
    <v>4</v>
    <v>399.92</v>
    <v>276.87</v>
    <v>1.1046</v>
    <v>-6.94</v>
    <v>-2.0076E-2</v>
    <v>USD</v>
    <v>Mastercard Incorporated is a technology company that connects consumers, financial institutions, merchants, governments and businesses across the world, enabling them to use electronic forms of payment. The Company allows user to make payments by creating a range of payment solutions and services using its brands, which include MasterCard, Maestro and Cirrus. It provides a range of products and solutions that support payment products, which customers can offer to their cardholders. The Company's services facilitate transactions on its core network among account holders, merchants, financial institutions, businesses, governments and other organizations in markets globally. Its products include consumer credit, consumer debit, prepaid and commercial credit and debit. It also provides integrated offerings such as cyber and intelligence products, information and analytics services, identity verification services, consulting, loyalty and reward programs, processing and open banking.</v>
    <v>24000</v>
    <v>New York Stock Exchange</v>
    <v>XNYS</v>
    <v>XNYS</v>
    <v>2000 Purchase St, PURCHASE, NY, 10577-2405 US</v>
    <v>345.47</v>
    <v>Software &amp; IT Services</v>
    <v>Stock</v>
    <v>44917.737137360935</v>
    <v>52</v>
    <v>338.75</v>
    <v>325694507250</v>
    <v>MASTERCARD INCORPORATED.</v>
    <v>MASTERCARD INCORPORATED.</v>
    <v>344.25</v>
    <v>34.534100000000002</v>
    <v>345.69</v>
    <v>338.75</v>
    <v>961459800</v>
    <v>MA</v>
    <v>MASTERCARD INCORPORATED. (XNYS:MA)</v>
    <v>779763</v>
    <v>2513303</v>
    <v>2001</v>
  </rv>
  <rv s="2">
    <v>53</v>
  </rv>
  <rv s="0">
    <v>https://www.bing.com/financeapi/forcetrigger?t=a1wyu2&amp;q=XNYS%3aLLY&amp;form=skydnc</v>
    <v>Learn more on Bing</v>
  </rv>
  <rv s="1">
    <v>en-US</v>
    <v>a1wyu2</v>
    <v>268435456</v>
    <v>1</v>
    <v>Powered by Refinitiv</v>
    <v>0</v>
    <v>ELI LILLY AND COMPANY (XNYS:LLY)</v>
    <v>2</v>
    <v>3</v>
    <v>Finance</v>
    <v>4</v>
    <v>375.25</v>
    <v>231.87</v>
    <v>0.35849999999999999</v>
    <v>-3.31</v>
    <v>-8.9940000000000003E-3</v>
    <v>USD</v>
    <v>Eli Lilly and Company is engaged in a drug manufacturing business. The Company discovers, develops, manufactures, and markets products in the human pharmaceutical products segment. Its diabetes products include Basaglar, Humalog, Humulin, Jardiance, Trajenta, and Trulicity. Its oncology products consist of Alimta, Cyramza, Erbitux, Retevmo, Tyvyt, and Verzenio. Its immunology products include Olumiant, Baricitinib, and Taltz. Its neuroscience products include Cymbalta, Emgality, and Zyprexa. Its other therapies consist of Bamlanivimab and etesevimab, Bebtelovimab, Cialis, and Forteo. It maintains special business groups to service wholesalers, pharmacy benefit managers, managed care organizations, group purchasing organizations, government and long-term care institutions, hospitals, and certain retail pharmacies. It manufactures and distributes its products through facilities in the United States, including Puerto Rico, and other countries. Its products are sold in about 120 countries.</v>
    <v>35000</v>
    <v>New York Stock Exchange</v>
    <v>XNYS</v>
    <v>XNYS</v>
    <v>Lilly Corporate Ctr, Drop Code 1094, Lilly Corporate Ctr, INDIANAPOLIS, IN, 46285-0001 US</v>
    <v>369.74</v>
    <v>Pharmaceuticals</v>
    <v>Stock</v>
    <v>44917.737103448439</v>
    <v>55</v>
    <v>364.12</v>
    <v>346529880130</v>
    <v>ELI LILLY AND COMPANY</v>
    <v>ELI LILLY AND COMPANY</v>
    <v>366.13</v>
    <v>55.306699999999999</v>
    <v>368.01</v>
    <v>364.7</v>
    <v>950177900</v>
    <v>LLY</v>
    <v>ELI LILLY AND COMPANY (XNYS:LLY)</v>
    <v>674820</v>
    <v>2873343</v>
    <v>1901</v>
  </rv>
  <rv s="2">
    <v>56</v>
  </rv>
  <rv s="0">
    <v>https://www.bing.com/financeapi/forcetrigger?t=a1zqnm&amp;q=XNYS%3aPFE&amp;form=skydnc</v>
    <v>Learn more on Bing</v>
  </rv>
  <rv s="1">
    <v>en-US</v>
    <v>a1zqnm</v>
    <v>268435456</v>
    <v>1</v>
    <v>Powered by Refinitiv</v>
    <v>0</v>
    <v>PFIZER INC. (XNYS:PFE)</v>
    <v>2</v>
    <v>3</v>
    <v>Finance</v>
    <v>4</v>
    <v>60.585000000000001</v>
    <v>41.445</v>
    <v>0.66579999999999995</v>
    <v>-0.6401</v>
    <v>-1.2391000000000001E-2</v>
    <v>USD</v>
    <v>Pfizer Inc. is a research-based biopharmaceutical company. The Company is engaged in the discovery, development, manufacture, marketing, sale and distribution of biopharmaceutical products around the world. The Company operations through two segments: Biopharma and PC1. Biopharma is a science-based medicines business that includes six therapeutic areas, such as Vaccines, Hospital, Oncology, Internal Medicine, Rare Disease, and Inflammation &amp; Immunology. PC1 is its global contract development and manufacturing organization and supplier of specialty active pharmaceutical ingredients. Its Vaccines include Comirnaty/BNT162b2, the Prevnar family, Nimenrix and others. Its Oncology products include Ibrance, Xtandi, Inlyta, Sutent, Retacrit, Lorbrena and Braftovi. Its Internal Medicine products include Eliquis and the Premarin family. Its Inflammation &amp; Immunology products include Xeljanz, Enbrel, Inflectra, Eucrisa/Staquis and Cibinqo. It also offers Rimegepant and Zavegepant.</v>
    <v>79000</v>
    <v>New York Stock Exchange</v>
    <v>XNYS</v>
    <v>XNYS</v>
    <v>235 E 42ND ST, NEW YORK, NY, 10017 US</v>
    <v>51.53</v>
    <v>Pharmaceuticals</v>
    <v>Stock</v>
    <v>44917.737076863283</v>
    <v>58</v>
    <v>50.99</v>
    <v>286390718948</v>
    <v>PFIZER INC.</v>
    <v>PFIZER INC.</v>
    <v>51.3</v>
    <v>9.7982999999999993</v>
    <v>51.66</v>
    <v>51.0199</v>
    <v>5613314000</v>
    <v>PFE</v>
    <v>PFIZER INC. (XNYS:PFE)</v>
    <v>5299203</v>
    <v>21077850</v>
    <v>1942</v>
  </rv>
  <rv s="2">
    <v>59</v>
  </rv>
  <rv s="0">
    <v>https://www.bing.com/financeapi/forcetrigger?t=a1mpqh&amp;q=XNYS%3aABBV&amp;form=skydnc</v>
    <v>Learn more on Bing</v>
  </rv>
  <rv s="1">
    <v>en-US</v>
    <v>a1mpqh</v>
    <v>268435456</v>
    <v>1</v>
    <v>Powered by Refinitiv</v>
    <v>0</v>
    <v>ABBVIE INC. (XNYS:ABBV)</v>
    <v>2</v>
    <v>3</v>
    <v>Finance</v>
    <v>4</v>
    <v>175.91</v>
    <v>128.26</v>
    <v>0.66100000000000003</v>
    <v>-0.14000000000000001</v>
    <v>-8.631E-4</v>
    <v>USD</v>
    <v>AbbVie Inc. is a research-based biopharmaceutical company, which is engaged in research and development, manufacturing, commercialization and sale of medicines and therapies. It offers products in various therapeutic categories, including immunology products, which include Humira, Skyrizi and Rinvoq; oncology products, which include Imbruvica and Venclexta; aesthetics products that include Botox Cosmetic, Juvederm Collection and others; neuroscience products, such as Botox Therapeutic, Vraylar, Duopa and Duodopa, and Ubrelvy; eye care products consists of Lumigan, Alphagan and Restasis; women's health products include Lo Loestrin, Orilissa and others; and other products, which includes Mavyret, Creon, Lupron, Linzess and Synthroid. Its products are sold to wholesalers, government agencies, health care facilities and independent retailers. It also discovers and develop antibody medicines that target difficult-to-drug disease-causing proteins, such as G protein-coupled receptors (GPCRs).</v>
    <v>50000</v>
    <v>New York Stock Exchange</v>
    <v>XNYS</v>
    <v>XNYS</v>
    <v>1 N Waukegan Rd, NORTH CHICAGO, IL, 60064 US</v>
    <v>162.91</v>
    <v>Pharmaceuticals</v>
    <v>Stock</v>
    <v>44917.737142279686</v>
    <v>61</v>
    <v>161.55009999999999</v>
    <v>286617553600</v>
    <v>ABBVIE INC.</v>
    <v>ABBVIE INC.</v>
    <v>161.79</v>
    <v>21.609000000000002</v>
    <v>162.21</v>
    <v>162.07</v>
    <v>1768480000</v>
    <v>ABBV</v>
    <v>ABBVIE INC. (XNYS:ABBV)</v>
    <v>1421251</v>
    <v>5543663</v>
    <v>2012</v>
  </rv>
  <rv s="2">
    <v>62</v>
  </rv>
  <rv s="0">
    <v>https://www.bing.com/financeapi/forcetrigger?t=a1xxmw&amp;q=XNYS%3aMRK&amp;form=skydnc</v>
    <v>Learn more on Bing</v>
  </rv>
  <rv s="1">
    <v>en-US</v>
    <v>a1xxmw</v>
    <v>268435456</v>
    <v>1</v>
    <v>Powered by Refinitiv</v>
    <v>0</v>
    <v>MERCK &amp; CO., INC. (XNYS:MRK)</v>
    <v>2</v>
    <v>3</v>
    <v>Finance</v>
    <v>4</v>
    <v>112.17</v>
    <v>72.875</v>
    <v>0.40539999999999998</v>
    <v>-0.39</v>
    <v>-3.5099999999999997E-3</v>
    <v>USD</v>
    <v>Merck &amp; Co., Inc. is a global health care company. The Company offers health solutions through its prescription medicines, vaccines, biologic therapies and animal health products. It operates through two segments: Pharmaceutical and Animal Health. The Company's Pharmaceutical segment includes human health pharmaceutical and vaccine products. Its human health pharmaceutical products consist of therapeutic and preventive agents, generally sold by prescription, for the treatment of human disorders. The Company sells these human health pharmaceutical products primarily to drug wholesalers and retailers, hospitals, government agencies and managed health care providers such as health maintenance organizations. The Animal Health segment develops, manufactures and markets a range of veterinary pharmaceutical and vaccine products, as well as health management solutions and services, for the prevention, treatment and control of disease in all livestock and companion animal species.</v>
    <v>68000</v>
    <v>New York Stock Exchange</v>
    <v>XNYS</v>
    <v>XNYS</v>
    <v>2000 Galloping Hill Road, KENILWORTH, NJ, 07033 US</v>
    <v>111.685</v>
    <v>Pharmaceuticals</v>
    <v>Stock</v>
    <v>44917.737083217187</v>
    <v>64</v>
    <v>110.55</v>
    <v>280719045120</v>
    <v>MERCK &amp; CO., INC.</v>
    <v>MERCK &amp; CO., INC.</v>
    <v>110.9</v>
    <v>18.4071</v>
    <v>111.11</v>
    <v>110.72</v>
    <v>2535396000</v>
    <v>MRK</v>
    <v>MERCK &amp; CO., INC. (XNYS:MRK)</v>
    <v>3523958</v>
    <v>9979125</v>
    <v>1970</v>
  </rv>
  <rv s="2">
    <v>65</v>
  </rv>
  <rv s="0">
    <v>https://www.bing.com/financeapi/forcetrigger?t=a1slm7&amp;q=XNAS%3aMETA&amp;form=skydnc</v>
    <v>Learn more on Bing</v>
  </rv>
  <rv s="1">
    <v>en-US</v>
    <v>a1slm7</v>
    <v>268435456</v>
    <v>1</v>
    <v>Powered by Refinitiv</v>
    <v>0</v>
    <v>Meta Platforms, Inc. (XNAS:META)</v>
    <v>2</v>
    <v>3</v>
    <v>Finance</v>
    <v>4</v>
    <v>352.71</v>
    <v>88.09</v>
    <v>1.1760999999999999</v>
    <v>-4.5999999999999996</v>
    <v>-3.841E-2</v>
    <v>USD</v>
    <v>Meta Platforms Inc., formerly Facebook, Inc., builds technologies that help people find communities and grow businesses. The Company's products enable people to connect and share with friends and family through mobile devices, personal computers, virtual reality (VR) headsets, wearables, and in-home devices. The Company operates through two segments: Family of Apps (FoA) and Reality Labs (RL). FoA includes Facebook, Instagram, Messenger, WhatsApp, and other services. RL includes augmented and virtual reality-related consumer hardware, software, and content. Facebook enables people to connect, share, discover and communicate with each other on mobile devices and personal computers. Instagram is a place where people can express themselves through photos, videos, and private messaging, and connect with and shop from their favorite businesses and creators. Messenger is a messaging application for people to connect with friends, family, groups, and businesses across platforms and devices.</v>
    <v>87314</v>
    <v>Nasdaq Stock Market</v>
    <v>XNAS</v>
    <v>XNAS</v>
    <v>1601 Willow Rd, MENLO PARK, CA, 94025 US</v>
    <v>118.62</v>
    <v>Software &amp; IT Services</v>
    <v>Stock</v>
    <v>44917.737123807812</v>
    <v>67</v>
    <v>115.08</v>
    <v>305352382840</v>
    <v>Meta Platforms, Inc.</v>
    <v>Meta Platforms, Inc.</v>
    <v>117.27</v>
    <v>11.4245</v>
    <v>119.76</v>
    <v>115.16</v>
    <v>2651549000</v>
    <v>META</v>
    <v>Meta Platforms, Inc. (XNAS:META)</v>
    <v>10940744</v>
    <v>32308029</v>
    <v>2004</v>
  </rv>
  <rv s="2">
    <v>68</v>
  </rv>
  <rv s="0">
    <v>https://www.bing.com/financeapi/forcetrigger?t=axyhnm&amp;q=XNAS%3aPEP&amp;form=skydnc</v>
    <v>Learn more on Bing</v>
  </rv>
  <rv s="1">
    <v>en-US</v>
    <v>axyhnm</v>
    <v>268435456</v>
    <v>1</v>
    <v>Powered by Refinitiv</v>
    <v>0</v>
    <v>PEPSICO, INC. (XNAS:PEP)</v>
    <v>2</v>
    <v>3</v>
    <v>Finance</v>
    <v>4</v>
    <v>186.84</v>
    <v>153.37</v>
    <v>0.58460000000000001</v>
    <v>-2.42</v>
    <v>-1.3260000000000001E-2</v>
    <v>USD</v>
    <v>PepsiCo, Inc. is a beverage and convenient food company. The Company's segments include Frito-Lay North America, which includes its food businesses in the United States and Canada; Quaker Foods North America, which includes its food businesses, such as cereal, rice, pasta and other branded food, in the United States and Canada; PepsiCo Beverages North America, which includes its beverage businesses in the United States and Canada; Latin America, which includes its beverage and convenient food businesses in Latin America; Europe, which includes its beverage and convenient food businesses in Europe; Africa, Middle East and South Asia (AMESA), which includes all of its beverage and convenient food businesses in Africa, the Middle East and South Asia; and Asia Pacific, Australia and New Zealand and China Region (APAC), which includes all of its beverage and convenient food businesses in Asia Pacific, Australia and New Zealand, and China region. Its brands include Lays, Doritos and Cheetos.</v>
    <v>309000</v>
    <v>Nasdaq Stock Market</v>
    <v>XNAS</v>
    <v>XNAS</v>
    <v>700 ANDERSON HILL RD, PURCHASE, NY, 10577 US</v>
    <v>182</v>
    <v>Beverages</v>
    <v>Stock</v>
    <v>44917.737140138284</v>
    <v>70</v>
    <v>180.02</v>
    <v>248097836720</v>
    <v>PEPSICO, INC.</v>
    <v>PEPSICO, INC.</v>
    <v>181.86</v>
    <v>25.883199999999999</v>
    <v>182.5</v>
    <v>180.08</v>
    <v>1377709000</v>
    <v>PEP</v>
    <v>PEPSICO, INC. (XNAS:PEP)</v>
    <v>1237864</v>
    <v>4939045</v>
    <v>1986</v>
  </rv>
  <rv s="2">
    <v>71</v>
  </rv>
  <rv s="0">
    <v>https://www.bing.com/financeapi/forcetrigger?t=a1wljc&amp;q=XNYS%3aKO&amp;form=skydnc</v>
    <v>Learn more on Bing</v>
  </rv>
  <rv s="1">
    <v>en-US</v>
    <v>a1wljc</v>
    <v>268435456</v>
    <v>1</v>
    <v>Powered by Refinitiv</v>
    <v>0</v>
    <v>THE COCA-COLA COMPANY (XNYS:KO)</v>
    <v>2</v>
    <v>3</v>
    <v>Finance</v>
    <v>4</v>
    <v>67.2</v>
    <v>54.015000000000001</v>
    <v>0.58260000000000001</v>
    <v>-0.82</v>
    <v>-1.2853000000000002E-2</v>
    <v>USD</v>
    <v>The Coca-Cola Company is a beverage company. The Company's segments include Europe, Middle East and Africa; Latin America; North America; Asia Pacific; Global Ventures; and Bottling Investments. It owns or licenses and markets various beverage brands, which are grouped into categories, such as Coca-Cola; sparkling flavors; hydration, sports, coffee and tea; nutrition, juice, dairy and plant-based beverages; and emerging beverages. It owns and markets five nonalcoholic sparkling soft drink brands, such as Coca-Cola, Sprite, Fanta, Diet Coke and Coca-Cola Zero Sugar. Its hydration, sports, coffee and tea brands include quarius, Ayataka, BODYARMOR, Ciel, Costa, dogadan, Dasani, FUZE TEA, Georgia, glaceau smartwater, glaceau vitaminwater, Gold Peak, Powerade and others. Its nutrition, juice, dairy and plant-based beverages brands include AdeS, Del Valle, fairlife, innocent, Minute Maid, Minute Maid Pulpy and Simply. Its products are available to consumers in more than 200 countries.</v>
    <v>79000</v>
    <v>New York Stock Exchange</v>
    <v>XNYS</v>
    <v>XNYS</v>
    <v>1 Coca Cola Plz NW, ATLANTA, GA, 30313-2420 US</v>
    <v>63.59</v>
    <v>Beverages</v>
    <v>Stock</v>
    <v>44917.737128772656</v>
    <v>73</v>
    <v>62.96</v>
    <v>272357828740</v>
    <v>THE COCA-COLA COMPANY</v>
    <v>THE COCA-COLA COMPANY</v>
    <v>63.41</v>
    <v>27.970199999999998</v>
    <v>63.8</v>
    <v>62.98</v>
    <v>4324513000</v>
    <v>KO</v>
    <v>THE COCA-COLA COMPANY (XNYS:KO)</v>
    <v>2893797</v>
    <v>13277531</v>
    <v>1919</v>
  </rv>
  <rv s="2">
    <v>74</v>
  </rv>
  <rv s="0">
    <v>https://www.bing.com/financeapi/forcetrigger?t=a1o4sm&amp;q=XNYS%3aBAC&amp;form=skydnc</v>
    <v>Learn more on Bing</v>
  </rv>
  <rv s="1">
    <v>en-US</v>
    <v>a1o4sm</v>
    <v>268435456</v>
    <v>1</v>
    <v>Powered by Refinitiv</v>
    <v>0</v>
    <v>BANK OF AMERICA CORPORATION (XNYS:BAC)</v>
    <v>2</v>
    <v>3</v>
    <v>Finance</v>
    <v>4</v>
    <v>50.11</v>
    <v>29.31</v>
    <v>1.4113</v>
    <v>-0.69499999999999995</v>
    <v>-2.1267000000000001E-2</v>
    <v>USD</v>
    <v>Bank of America Corporation is a bank holding company (BHC) and a financial holding company. The Company's segments include Consumer Banking, Global Wealth &amp; Investment Management (GWIM), Global Banking, and Global Markets. Consumer Banking segment offers a range of credit, banking and investment products and services to consumers and small businesses. The GWIM segment provides client experience through a network of financial advisors focused on clients with over $250,000 in total investable assets, including solutions to meet client's needs through a set of investment management, brokerage, banking, and retirement products. Global Banking segment provides a range of lending-related products and services, integrated working capital management and treasury solutions, and underwriting and advisory services. Global Markets segment offers sales and trading services and research services to institutional clients across fixed-income, credit, currency, commodity, and equity businesses.</v>
    <v>213000</v>
    <v>New York Stock Exchange</v>
    <v>XNYS</v>
    <v>XNYS</v>
    <v>Bank Of America Corporate Center, 100 N Tryon St, CHARLOTTE, NC, 28255 US</v>
    <v>32.58</v>
    <v>Banking Services</v>
    <v>Stock</v>
    <v>44917.737105115622</v>
    <v>76</v>
    <v>31.975000000000001</v>
    <v>256597487520</v>
    <v>BANK OF AMERICA CORPORATION</v>
    <v>BANK OF AMERICA CORPORATION</v>
    <v>32.54</v>
    <v>10.3535</v>
    <v>32.68</v>
    <v>31.984999999999999</v>
    <v>8022432000</v>
    <v>BAC</v>
    <v>BANK OF AMERICA CORPORATION (XNYS:BAC)</v>
    <v>10460144</v>
    <v>40718321</v>
    <v>1998</v>
  </rv>
  <rv s="2">
    <v>77</v>
  </rv>
  <rv s="0">
    <v>https://www.bing.com/financeapi/forcetrigger?t=a1nz8m&amp;q=XNAS%3aAVGO&amp;form=skydnc</v>
    <v>Learn more on Bing</v>
  </rv>
  <rv s="1">
    <v>en-US</v>
    <v>a1nz8m</v>
    <v>268435456</v>
    <v>1</v>
    <v>Powered by Refinitiv</v>
    <v>0</v>
    <v>Broadcom Inc. (XNAS:AVGO)</v>
    <v>2</v>
    <v>3</v>
    <v>Finance</v>
    <v>4</v>
    <v>677.76</v>
    <v>415.06819999999999</v>
    <v>1.1066</v>
    <v>-12.605</v>
    <v>-2.2460000000000001E-2</v>
    <v>USD</v>
    <v>Broadcom Inc. is a technology company. The Company designs, develops and supplies a range of semiconductor and infrastructure software solutions. The Company operates through two segments: semiconductor solutions and infrastructure software. Its semiconductor solutions segment includes all of its product lines and intellectual property (IP) licensing. It provides semiconductor solutions for managing the movement of data in data center, telecom, enterprise and embedded networking applications. It also provides a variety of radio frequency (RF) semiconductor devices, wireless connectivity solutions and custom touch controllers for the wireless market. Its infrastructure software segment includes its mainframe, distributed and cyber security solutions, and its fiber channel storage area networking (FC SAN) business. The Company's mainframe software provides DevOps, AIOps, Security and Data Management Systems solutions.</v>
    <v>20000</v>
    <v>Nasdaq Stock Market</v>
    <v>XNAS</v>
    <v>XNAS</v>
    <v>1320 Ridder Park Drive, SAN JOSE, CA, 95131 US</v>
    <v>553.41</v>
    <v>Semiconductors &amp; Semiconductor Equipment</v>
    <v>Stock</v>
    <v>44917.73710513828</v>
    <v>79</v>
    <v>547.80999999999995</v>
    <v>229262761612</v>
    <v>Broadcom Inc.</v>
    <v>Broadcom Inc.</v>
    <v>553.35</v>
    <v>21.1526</v>
    <v>561.23</v>
    <v>548.625</v>
    <v>417886100</v>
    <v>AVGO</v>
    <v>Broadcom Inc. (XNAS:AVGO)</v>
    <v>992038</v>
    <v>2521976</v>
    <v>2018</v>
  </rv>
  <rv s="2">
    <v>80</v>
  </rv>
  <rv s="0">
    <v>https://www.bing.com/financeapi/forcetrigger?t=a24bsm&amp;q=XNYS%3aTMO&amp;form=skydnc</v>
    <v>Learn more on Bing</v>
  </rv>
  <rv s="1">
    <v>en-US</v>
    <v>a24bsm</v>
    <v>268435456</v>
    <v>1</v>
    <v>Powered by Refinitiv</v>
    <v>0</v>
    <v>THERMO FISHER SCIENTIFIC INC. (XNYS:TMO)</v>
    <v>2</v>
    <v>3</v>
    <v>Finance</v>
    <v>4</v>
    <v>672.34</v>
    <v>475.77</v>
    <v>0.84650000000000003</v>
    <v>-7.31</v>
    <v>-1.3540000000000002E-2</v>
    <v>USD</v>
    <v>Thermo Fisher Scientific Inc. develops, manufactures and sells a range of products. The Company segments include Life Sciences Solutions, Analytical Instruments, Specialty Diagnostics, and Laboratory Products and Services. The Company offers its products and services through various brands, including Thermo Scientific, Applied Biosystems, Invitrogen, Fisher Scientific, Unity Lab Services, Patheon and PPD. Life Sciences Solutions segment provides a portfolio of reagents, instruments and consumables used in biological and medical research, discovery and production of new drugs and vaccines. Analytical Instruments segment provides a broad offering of instruments, consumables, software and services that are used for applications in the laboratory. Specialty Diagnostics segment offers a wide range of diagnostic test kits, reagents, culture media, instruments and associated products. Its Laboratory Products and Services segment offers products and solutions needed for the laboratory.</v>
    <v>130000</v>
    <v>New York Stock Exchange</v>
    <v>XNYS</v>
    <v>XNYS</v>
    <v>168 Third Avenue, WALTHAM, MA, 02451 US</v>
    <v>537.29499999999996</v>
    <v>Healthcare Equipment &amp; Supplies</v>
    <v>Stock</v>
    <v>44917.737041539061</v>
    <v>82</v>
    <v>532.30999999999995</v>
    <v>208875532648</v>
    <v>THERMO FISHER SCIENTIFIC INC.</v>
    <v>THERMO FISHER SCIENTIFIC INC.</v>
    <v>534.61</v>
    <v>30.3444</v>
    <v>539.89</v>
    <v>532.58000000000004</v>
    <v>392195600</v>
    <v>TMO</v>
    <v>THERMO FISHER SCIENTIFIC INC. (XNYS:TMO)</v>
    <v>448353</v>
    <v>1422655</v>
    <v>1960</v>
  </rv>
  <rv s="2">
    <v>83</v>
  </rv>
  <rv s="0">
    <v>https://www.bing.com/financeapi/forcetrigger?t=a25ya2&amp;q=XNYS%3aWMT&amp;form=skydnc</v>
    <v>Learn more on Bing</v>
  </rv>
  <rv s="1">
    <v>en-US</v>
    <v>a25ya2</v>
    <v>268435456</v>
    <v>1</v>
    <v>Powered by Refinitiv</v>
    <v>0</v>
    <v>WALMART INC. (XNYS:WMT)</v>
    <v>2</v>
    <v>3</v>
    <v>Finance</v>
    <v>4</v>
    <v>160.77000000000001</v>
    <v>117.27</v>
    <v>0.53690000000000004</v>
    <v>-2.73</v>
    <v>-1.8804000000000001E-2</v>
    <v>USD</v>
    <v>Walmart Inc. offers shopping opportunities in both retail stores and through e-commerce and provides access to its other service offerings. The Company offers an assortment of merchandise and services at everyday low prices (EDLP). The Company operates through three segments: Walmart U.S., Walmart International and Sam's Club. The Walmart U.S. segment is a merchandiser of consumer products, operating under the Walmart and Walmart Neighborhood Market brands, as well as walmart.com and other e-commerce brands, and it operates in the United States. The Walmart International segment includes various formats divided into two categories: retail and wholesale. These categories consist of various formats, including supercenters, supermarkets, hypermarkets, warehouse clubs (including Sam's Clubs) and cash &amp; carry, as well as e-commerce through walmart.com.mx, walmart.ca, flipkart.com and other sites. The Sam's Club segment is a membership-only warehouse club that also operates samsclub.com.</v>
    <v>2300000</v>
    <v>New York Stock Exchange</v>
    <v>XNYS</v>
    <v>XNYS</v>
    <v>702 SW 8th St, BENTONVILLE, AR, 72716-6209 US</v>
    <v>144.97999999999999</v>
    <v>Food &amp; Drug Retailing</v>
    <v>Stock</v>
    <v>44917.737108784379</v>
    <v>85</v>
    <v>142.22</v>
    <v>384159159999</v>
    <v>WALMART INC.</v>
    <v>WALMART INC.</v>
    <v>144.71</v>
    <v>44.860700000000001</v>
    <v>145.18</v>
    <v>142.44999999999999</v>
    <v>2696800000</v>
    <v>WMT</v>
    <v>WALMART INC. (XNYS:WMT)</v>
    <v>1699889</v>
    <v>6886977</v>
    <v>1969</v>
  </rv>
  <rv s="2">
    <v>86</v>
  </rv>
  <rv s="0">
    <v>https://www.bing.com/financeapi/forcetrigger?t=a1q6k2&amp;q=XNAS%3aCOST&amp;form=skydnc</v>
    <v>Learn more on Bing</v>
  </rv>
  <rv s="1">
    <v>en-US</v>
    <v>a1q6k2</v>
    <v>268435456</v>
    <v>1</v>
    <v>Powered by Refinitiv</v>
    <v>0</v>
    <v>COSTCO WHOLESALE CORPORATION (XNAS:COST)</v>
    <v>2</v>
    <v>3</v>
    <v>Finance</v>
    <v>4</v>
    <v>612.27</v>
    <v>406.51010000000002</v>
    <v>0.75560000000000005</v>
    <v>-6.92</v>
    <v>-1.4976E-2</v>
    <v>USD</v>
    <v>Costco Wholesale Corporation is a global retailer with warehouse club operations in eight countries. The Company operates an international chain of membership warehouses, mainly under the Costco Wholesale name. The Company's warehouses are designed to help small- to medium-sized businesses reduce costs in purchasing for resale and for everyday business use. The Company offers merchandise in various categories, which include groceries, candy, appliances, television and media, automotive supplies, tires, toys, hardware, sporting goods, jewelry, watches, cameras, books, housewares, apparel, health and beauty aids, furniture, office supplies and office equipment. Members can also shop for private label Kirkland Signature products. It operates approximately 838 warehouses worldwide. It also operates self-service gasoline stations. The Company operates e-commerce websites in the United States, Canada, Mexico, United Kingdom, Korea, Taiwan, Japan, and Australia.</v>
    <v>304000</v>
    <v>Nasdaq Stock Market</v>
    <v>XNAS</v>
    <v>XNAS</v>
    <v>999 Lake Dr, ISSAQUAH, WA, 98027- US</v>
    <v>460.4</v>
    <v>Diversified Retail</v>
    <v>Stock</v>
    <v>44917.737130439062</v>
    <v>88</v>
    <v>453.39</v>
    <v>202009792740</v>
    <v>COSTCO WHOLESALE CORPORATION</v>
    <v>COSTCO WHOLESALE CORPORATION</v>
    <v>460.4</v>
    <v>34.924599999999998</v>
    <v>462.06</v>
    <v>455.14</v>
    <v>443841000</v>
    <v>COST</v>
    <v>COSTCO WHOLESALE CORPORATION (XNAS:COST)</v>
    <v>758214</v>
    <v>2537387</v>
    <v>1987</v>
  </rv>
  <rv s="2">
    <v>89</v>
  </rv>
  <rv s="0">
    <v>http://en.wikipedia.org/wiki/McDonald's</v>
    <v>Wikipedia</v>
  </rv>
  <rv s="3">
    <v>3</v>
    <v>91</v>
  </rv>
  <rv s="4">
    <v>9</v>
    <v>https://www.bing.com/th?id=AMMS_7d8255243964a8970376f8dd41121106&amp;qlt=95</v>
    <v>92</v>
    <v>0</v>
    <v>https://www.bing.com/images/search?form=xlimg&amp;q=mcdonald%27s</v>
    <v>Image of MCDONALD'S CORPORATION</v>
  </rv>
  <rv s="0">
    <v>https://www.bing.com/financeapi/forcetrigger?t=a1xdec&amp;q=XNYS%3aMCD&amp;form=skydnc</v>
    <v>Learn more on Bing</v>
  </rv>
  <rv s="5">
    <v>en-US</v>
    <v>a1xdec</v>
    <v>268435456</v>
    <v>1</v>
    <v>Powered by Refinitiv</v>
    <v>5</v>
    <v>MCDONALD'S CORPORATION (XNYS:MCD)</v>
    <v>7</v>
    <v>8</v>
    <v>Finance</v>
    <v>4</v>
    <v>281.67</v>
    <v>217.67500000000001</v>
    <v>0.6331</v>
    <v>-3.69</v>
    <v>-1.376E-2</v>
    <v>USD</v>
    <v>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Spain, and the United Kingdom. Its IDL segment includes its operations in markets, such as Latin America and Asia. Its digital offerings include drive thru, takeaway, delivery, curbside pick-up, and dine-in. Its menu includes hamburgers and cheeseburgers, Big Mac, Quarter Pounder with Cheese, Filet-O-Fish, wraps, shakes, soft drinks, coffee, McCafe beverages and other beverages.</v>
    <v>200000</v>
    <v>New York Stock Exchange</v>
    <v>XNYS</v>
    <v>XNYS</v>
    <v>110 N Carpenter St, CHICAGO, IL, 60607-2104 US</v>
    <v>268.12</v>
    <v>93</v>
    <v>Hotels &amp; Entertainment Services</v>
    <v>Stock</v>
    <v>44917.737126133594</v>
    <v>94</v>
    <v>264.38</v>
    <v>193704148833</v>
    <v>MCDONALD'S CORPORATION</v>
    <v>MCDONALD'S CORPORATION</v>
    <v>267.03500000000003</v>
    <v>33.778799999999997</v>
    <v>268.16000000000003</v>
    <v>264.47000000000003</v>
    <v>732423900</v>
    <v>MCD</v>
    <v>MCDONALD'S CORPORATION (XNYS:MCD)</v>
    <v>741332</v>
    <v>2947361</v>
    <v>1964</v>
  </rv>
  <rv s="2">
    <v>95</v>
  </rv>
  <rv s="0">
    <v>https://www.bing.com/financeapi/forcetrigger?t=a1qe5r&amp;q=XNAS%3aCSCO&amp;form=skydnc</v>
    <v>Learn more on Bing</v>
  </rv>
  <rv s="1">
    <v>en-US</v>
    <v>a1qe5r</v>
    <v>268435456</v>
    <v>1</v>
    <v>Powered by Refinitiv</v>
    <v>0</v>
    <v>CISCO SYSTEMS, INC. (XNAS:CSCO)</v>
    <v>2</v>
    <v>3</v>
    <v>Finance</v>
    <v>4</v>
    <v>64.284999999999997</v>
    <v>38.604999999999997</v>
    <v>0.9788</v>
    <v>-0.83399999999999996</v>
    <v>-1.7499000000000001E-2</v>
    <v>USD</v>
    <v>Cisco Systems, Inc. is engaged in designing and selling a range of technologies that power the Internet. The Company is integrating its platforms across networking, security, collaboration, applications and the cloud. The Company operates through three geographic segments: the Americas; Europe, Middle East, and Africa (EMEA), and Asia Pacific, Japan, and China (APJC). The Company's products categories include Secure, Agile Networks; Internet for the Future; Collaboration; End-to-End Security; Optimized Application Experiences; Other Products, and Services. Secure, Agile Networks consists of its core networking technologies of switching, enterprise routing, wireless, and compute products. Internet for the Future consists of its routed optical networking, public fifth generation (5G), silicon, and optics offerings. Collaboration consists of its Collaboration Devices, Meetings, Calling and contact center offerings. End-to-End Security consists of its overall security offerings.</v>
    <v>83300</v>
    <v>Nasdaq Stock Market</v>
    <v>XNAS</v>
    <v>XNAS</v>
    <v>170 West Tasman Dr, SAN JOSE, CA, 95134-1706 US</v>
    <v>47.44</v>
    <v>Communications &amp; Networking</v>
    <v>Stock</v>
    <v>44917.737127407032</v>
    <v>97</v>
    <v>46.795000000000002</v>
    <v>192366031078</v>
    <v>CISCO SYSTEMS, INC.</v>
    <v>CISCO SYSTEMS, INC.</v>
    <v>47.41</v>
    <v>17.249199999999998</v>
    <v>47.66</v>
    <v>46.826000000000001</v>
    <v>4108103000</v>
    <v>CSCO</v>
    <v>CISCO SYSTEMS, INC. (XNAS:CSCO)</v>
    <v>5293708</v>
    <v>20171638</v>
    <v>2021</v>
  </rv>
  <rv s="2">
    <v>98</v>
  </rv>
  <rv s="0">
    <v>https://www.bing.com/financeapi/forcetrigger?t=a1mrar&amp;q=XNYS%3aABT&amp;form=skydnc</v>
    <v>Learn more on Bing</v>
  </rv>
  <rv s="1">
    <v>en-US</v>
    <v>a1mrar</v>
    <v>268435456</v>
    <v>1</v>
    <v>Powered by Refinitiv</v>
    <v>0</v>
    <v>ABBOTT LABORATORIES (XNYS:ABT)</v>
    <v>2</v>
    <v>3</v>
    <v>Finance</v>
    <v>4</v>
    <v>142.6</v>
    <v>93.25</v>
    <v>0.69069999999999998</v>
    <v>-1.48</v>
    <v>-1.3686E-2</v>
    <v>USD</v>
    <v>Abbott Laboratories is engaged in the discovery, development, manufacture, and sale of a diversified line of health care products. The Company operates through four segments: Established Pharmaceutical Products, Diagnostic Products, Nutritional Products, and Medical Devices. Its Established Pharmaceutical Products segment includes gastroenterology products, women’s health products, cardiovascular and metabolic products, pain and central nervous system products and respiratory drugs and vaccines. Its Diagnostic Products segment includes core laboratory systems in the areas of immunoassay, clinical chemistry, hematology, and transfusion medicine; molecular diagnostics polymerase chain reaction (PCR) instrument systems; point of care systems; rapid diagnostics lateral flow testing products, and informatics and automation solutions. Its Nutritional Products segment includes various forms of infant formula and follow-on formula, adult and other pediatric nutritional products and others.</v>
    <v>113000</v>
    <v>New York Stock Exchange</v>
    <v>XNYS</v>
    <v>XNYS</v>
    <v>100 Abbott Park Rd, ABBOTT PARK, IL, 60064-3500 US</v>
    <v>107.935</v>
    <v>Healthcare Equipment &amp; Supplies</v>
    <v>Stock</v>
    <v>44917.737104964843</v>
    <v>100</v>
    <v>106.66</v>
    <v>185969602840</v>
    <v>ABBOTT LABORATORIES</v>
    <v>ABBOTT LABORATORIES</v>
    <v>107.63</v>
    <v>24.291799999999999</v>
    <v>108.14</v>
    <v>106.66</v>
    <v>1743574000</v>
    <v>ABT</v>
    <v>ABBOTT LABORATORIES (XNYS:ABT)</v>
    <v>1046128</v>
    <v>4853502</v>
    <v>1900</v>
  </rv>
  <rv s="2">
    <v>101</v>
  </rv>
  <rv s="0">
    <v>https://www.bing.com/financeapi/forcetrigger?t=a1r1r7&amp;q=XNYS%3aDHR&amp;form=skydnc</v>
    <v>Learn more on Bing</v>
  </rv>
  <rv s="1">
    <v>en-US</v>
    <v>a1r1r7</v>
    <v>268435456</v>
    <v>1</v>
    <v>Powered by Refinitiv</v>
    <v>0</v>
    <v>DANAHER CORPORATION (XNYS:DHR)</v>
    <v>2</v>
    <v>3</v>
    <v>Finance</v>
    <v>4</v>
    <v>331.23</v>
    <v>233.708</v>
    <v>0.83430000000000004</v>
    <v>-5.17</v>
    <v>-1.9810000000000001E-2</v>
    <v>USD</v>
    <v>Danaher Corporation (Danaher) designs, manufactures and markets professional, medical, industrial, and commercial products and services. The Company operates through three segments: Life Sciences, Diagnostics, and Environmental &amp; Applied Solutions. The Life Sciences segment offers a range of instruments and consumables that are primarily used by customers to study the basic building blocks of life, including genes, proteins, metabolites, and cells, to understand the causes of disease, identify new therapies, and test and manufacture new drugs and vaccines. The Diagnostics segment offers clinical instruments, reagents, consumables, software, and services that hospitals, physicians’ offices, reference laboratories, and other critical care settings use to diagnose disease and make treatment decisions. The Environmental &amp; Applied Solutions segment offers products and services that help protect precious resources and keep global food and water supplies safe.</v>
    <v>78000</v>
    <v>New York Stock Exchange</v>
    <v>XNYS</v>
    <v>XNYS</v>
    <v>2200 Pennsylvania Ave NW Ste 800W, WASHINGTON, DC, 20037-1731 US</v>
    <v>259.16000000000003</v>
    <v>Healthcare Equipment &amp; Supplies</v>
    <v>Stock</v>
    <v>44917.737032510937</v>
    <v>103</v>
    <v>255.81</v>
    <v>186220138287</v>
    <v>DANAHER CORPORATION</v>
    <v>DANAHER CORPORATION</v>
    <v>258.7</v>
    <v>28.808900000000001</v>
    <v>260.98</v>
    <v>255.81</v>
    <v>727962700</v>
    <v>DHR</v>
    <v>DANAHER CORPORATION (XNYS:DHR)</v>
    <v>688692</v>
    <v>2332219</v>
    <v>1986</v>
  </rv>
  <rv s="2">
    <v>104</v>
  </rv>
  <rv s="0">
    <v>https://www.bing.com/financeapi/forcetrigger?t=a1mthw&amp;q=XNYS%3aACN&amp;form=skydnc</v>
    <v>Learn more on Bing</v>
  </rv>
  <rv s="1">
    <v>en-US</v>
    <v>a1mthw</v>
    <v>268435456</v>
    <v>1</v>
    <v>Powered by Refinitiv</v>
    <v>0</v>
    <v>ACCENTURE PUBLIC LIMITED COMPANY (XNYS:ACN)</v>
    <v>2</v>
    <v>3</v>
    <v>Finance</v>
    <v>4</v>
    <v>417.37</v>
    <v>242.95</v>
    <v>1.2283999999999999</v>
    <v>-6.83</v>
    <v>-2.5398E-2</v>
    <v>USD</v>
    <v>Accenture plc is a global professional services company engaged in providing a range of services in strategy and consulting, technology, operations and Accenture song. It serves clients in North America, Europe and Growth markets. It provides a range of services, including application services, artificial intelligence, automation, business process outsourcing, business strategy, change management, cloud, data and analytics, digital commerce, digital engineering and manufacturing, finance consulting, infrastructure, marketing, mergers and acquisitions, metaverse, operating models, security, supply chain management, technology consulting, technology innovation and zero-based transformation. It helps organizations to achieve transformational impact with solutions in C-Suite assessment, team dynamics and various others. It also offers automated production lines that leverage the cloud, data and artificial intelligence (AI) that makes factories and plants smarter through Eclipse Automation.</v>
    <v>721000</v>
    <v>New York Stock Exchange</v>
    <v>XNYS</v>
    <v>XNYS</v>
    <v>1 Grand Canal Square, Grand Canal Harbour, Dublin 2, DUBLIN, DUBLIN IE</v>
    <v>265.93</v>
    <v>Software &amp; IT Services</v>
    <v>Stock</v>
    <v>44917.737038981249</v>
    <v>106</v>
    <v>262.08999999999997</v>
    <v>172557041964</v>
    <v>ACCENTURE PUBLIC LIMITED COMPANY</v>
    <v>ACCENTURE PUBLIC LIMITED COMPANY</v>
    <v>264.435</v>
    <v>24.417000000000002</v>
    <v>268.92</v>
    <v>262.08999999999997</v>
    <v>658388500</v>
    <v>ACN</v>
    <v>ACCENTURE PUBLIC LIMITED COMPANY (XNYS:ACN)</v>
    <v>1050161</v>
    <v>2235786</v>
    <v>2009</v>
  </rv>
  <rv s="2">
    <v>107</v>
  </rv>
  <rv s="0">
    <v>https://www.bing.com/financeapi/forcetrigger?t=a1ye2w&amp;q=XNYS%3aNEE&amp;form=skydnc</v>
    <v>Learn more on Bing</v>
  </rv>
  <rv s="1">
    <v>en-US</v>
    <v>a1ye2w</v>
    <v>268435456</v>
    <v>1</v>
    <v>Powered by Refinitiv</v>
    <v>0</v>
    <v>NEXTERA ENERGY, INC. (XNYS:NEE)</v>
    <v>2</v>
    <v>3</v>
    <v>Finance</v>
    <v>4</v>
    <v>93.73</v>
    <v>67.22</v>
    <v>0.47920000000000001</v>
    <v>-1.96</v>
    <v>-2.3153999999999997E-2</v>
    <v>USD</v>
    <v>NextEra Energy, Inc. is an electric power and energy infrastructure company. The Company operates through its wholly owned subsidiaries, Florida Power &amp; Light Company (FPL), and NextEra Energy Resources, LLC and NextEra Energy Transmission, LLC (collectively, NEER). Its segments include FPL, NEER and Gulf Power. Its FPL segment is a rate-regulated electric utility engaged primarily in the generation, transmission, distribution and sale of electric energy in Florida. Its FPL segment has approximately 28,450 megawatts (MW) of net generating capacity, approximately 77,000 circuit miles of transmission and distribution lines, and 696 substations. Its NEER segment owns, develops, constructs, manages and operates electric generation facilities in wholesale energy markets in the United States and Canada. NEER also provides energy and capacity requirements services, power and fuel marketing and trading activities, and operates rate-regulated transmission facilities and transmission lines.</v>
    <v>15000</v>
    <v>New York Stock Exchange</v>
    <v>XNYS</v>
    <v>XNYS</v>
    <v>700 Universe Blvd, JUNO BEACH, FL, 33408 US</v>
    <v>84.53</v>
    <v>Electrical Utilities &amp; IPPs</v>
    <v>Stock</v>
    <v>44917.737119710153</v>
    <v>109</v>
    <v>82.66</v>
    <v>164318591160</v>
    <v>NEXTERA ENERGY, INC.</v>
    <v>NEXTERA ENERGY, INC.</v>
    <v>84.52</v>
    <v>43.7102</v>
    <v>84.65</v>
    <v>82.69</v>
    <v>1987164000</v>
    <v>NEE</v>
    <v>NEXTERA ENERGY, INC. (XNYS:NEE)</v>
    <v>1535055</v>
    <v>6322958</v>
    <v>1984</v>
  </rv>
  <rv s="2">
    <v>110</v>
  </rv>
  <rv s="0">
    <v>https://www.bing.com/financeapi/forcetrigger?t=bnmq52&amp;q=XNYS%3aLIN&amp;form=skydnc</v>
    <v>Learn more on Bing</v>
  </rv>
  <rv s="1">
    <v>en-US</v>
    <v>bnmq52</v>
    <v>268435456</v>
    <v>1</v>
    <v>Powered by Refinitiv</v>
    <v>0</v>
    <v>LINDE PUBLIC LIMITED COMPANY (XNYS:LIN)</v>
    <v>2</v>
    <v>3</v>
    <v>Finance</v>
    <v>4</v>
    <v>352.18</v>
    <v>262.47000000000003</v>
    <v>0.89200000000000002</v>
    <v>-5.36</v>
    <v>-1.6308E-2</v>
    <v>USD</v>
    <v>Linde plc is an industrial gas company. The Company's primary products in its industrial gases business are atmospheric gases (oxygen, nitrogen, argon, and rare gases) and process gases (carbon dioxide, helium, hydrogen, electronic gases, specialty gases, and acetylene). The Company's segments include Americas; Europe/Middle East/Africa (EMEA); Asia/South Pacific (APAC); and Engineering. Its Engineering business designs and manufactures equipment for air separation and other industrial gas applications specifically for end customers and is managed on a worldwide basis operating in all geographic segments. The Company also designs and builds equipment that produces industrial gases and offers customers a range of gas production and processing services, such as olefin plants, natural gas plants, air separation plants, hydrogen and synthesis gas plants and other types of plants. The Company's industrial gases are distributed to various end-markets within a regional segment.</v>
    <v>65293</v>
    <v>New York Stock Exchange</v>
    <v>XNYS</v>
    <v>XNYS</v>
    <v>Forge, 43 Church Street West, GUILDFORD, SURREY, GU216HT GB</v>
    <v>326.70999999999998</v>
    <v>Chemicals</v>
    <v>Stock</v>
    <v>44917.737053738281</v>
    <v>112</v>
    <v>323.17500000000001</v>
    <v>159249799917</v>
    <v>LINDE PUBLIC LIMITED COMPANY</v>
    <v>LINDE PUBLIC LIMITED COMPANY</v>
    <v>326.45</v>
    <v>43.506399999999999</v>
    <v>328.67</v>
    <v>323.31</v>
    <v>492560700</v>
    <v>LIN</v>
    <v>LINDE PUBLIC LIMITED COMPANY (XNYS:LIN)</v>
    <v>461166</v>
    <v>1629215</v>
    <v>2017</v>
  </rv>
  <rv s="2">
    <v>113</v>
  </rv>
  <rv s="0">
    <v>http://es.wikipedia.org/wiki/Adobe_(empresa)</v>
    <v>Wikipedia</v>
  </rv>
  <rv s="3">
    <v>3</v>
    <v>115</v>
  </rv>
  <rv s="4">
    <v>9</v>
    <v>https://www.bing.com/th?id=AMMS_503c684ccc667ad525fe1d703881df2c&amp;qlt=95</v>
    <v>116</v>
    <v>0</v>
    <v>https://www.bing.com/images/search?form=xlimg&amp;q=adobe+systems</v>
    <v>Image of ADOBE INC.</v>
  </rv>
  <rv s="0">
    <v>https://www.bing.com/financeapi/forcetrigger?t=a1mv7w&amp;q=XNAS%3aADBE&amp;form=skydnc</v>
    <v>Learn more on Bing</v>
  </rv>
  <rv s="5">
    <v>en-US</v>
    <v>a1mv7w</v>
    <v>268435456</v>
    <v>1</v>
    <v>Powered by Refinitiv</v>
    <v>5</v>
    <v>ADOBE INC. (XNAS:ADBE)</v>
    <v>7</v>
    <v>8</v>
    <v>Finance</v>
    <v>4</v>
    <v>582.88</v>
    <v>274.73</v>
    <v>1.2416</v>
    <v>-8.5050000000000008</v>
    <v>-2.4914000000000002E-2</v>
    <v>USD</v>
    <v>Adobe Inc., formerly Adobe Systems Incorporated, is a software company. The Company offers products and services used by professionals, marketers, knowledge workers, application developers, enterprises and consumers for creating, managing, measuring, optimizing and engaging with compelling content and experiences. It operates through three segments: Digital Media, Digital Experience and Publishing. Its Digital Media segment provides tools and solutions that enable individuals, small and medium businesses and enterprises to create, publish, promote and monetize their digital content. Its Digital Experience segment provides solutions and services for how digital advertising and marketing are created, managed, executed, measured and optimized. Its Publishing segment addresses market opportunities ranging from the diverse authoring and publishing needs of technical and business publishing to its legacy type and original equipment manufacturer printing businesses.</v>
    <v>25988</v>
    <v>Nasdaq Stock Market</v>
    <v>XNAS</v>
    <v>XNAS</v>
    <v>345 PARK AVE, SAN JOSE, CA, 95110-2704 US</v>
    <v>339.88</v>
    <v>117</v>
    <v>Software &amp; IT Services</v>
    <v>Stock</v>
    <v>44917.737091515628</v>
    <v>118</v>
    <v>332.82</v>
    <v>154753587500</v>
    <v>ADOBE INC.</v>
    <v>ADOBE INC.</v>
    <v>336.01</v>
    <v>33.794899999999998</v>
    <v>341.38</v>
    <v>332.875</v>
    <v>464900000</v>
    <v>ADBE</v>
    <v>ADOBE INC. (XNAS:ADBE)</v>
    <v>958229</v>
    <v>3267633</v>
    <v>1997</v>
  </rv>
  <rv s="2">
    <v>119</v>
  </rv>
  <rv s="0">
    <v>https://www.bing.com/financeapi/forcetrigger?t=a25obh&amp;q=XNYS%3aVZ&amp;form=skydnc</v>
    <v>Learn more on Bing</v>
  </rv>
  <rv s="1">
    <v>en-US</v>
    <v>a25obh</v>
    <v>268435456</v>
    <v>1</v>
    <v>Powered by Refinitiv</v>
    <v>0</v>
    <v>VERIZON COMMUNICATIONS INC. (XNYS:VZ)</v>
    <v>2</v>
    <v>3</v>
    <v>Finance</v>
    <v>4</v>
    <v>55.51</v>
    <v>34.549999999999997</v>
    <v>0.35870000000000002</v>
    <v>-0.39500000000000002</v>
    <v>-1.0455000000000001E-2</v>
    <v>USD</v>
    <v>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v>
    <v>118400</v>
    <v>New York Stock Exchange</v>
    <v>XNYS</v>
    <v>XNYS</v>
    <v>1095 Avenue Of The Americas, NEW YORK, NY, 10036 US</v>
    <v>37.734999999999999</v>
    <v>Telecommunications Services</v>
    <v>Stock</v>
    <v>44917.737128159373</v>
    <v>121</v>
    <v>37.380000000000003</v>
    <v>157010158545</v>
    <v>VERIZON COMMUNICATIONS INC.</v>
    <v>VERIZON COMMUNICATIONS INC.</v>
    <v>37.72</v>
    <v>8.2152999999999992</v>
    <v>37.78</v>
    <v>37.384999999999998</v>
    <v>4199817000</v>
    <v>VZ</v>
    <v>VERIZON COMMUNICATIONS INC. (XNYS:VZ)</v>
    <v>7836554</v>
    <v>23687169</v>
    <v>1983</v>
  </rv>
  <rv s="2">
    <v>122</v>
  </rv>
  <rv s="0">
    <v>http://en.wikipedia.org/wiki/The_Walt_Disney_Company</v>
    <v>Wikipedia</v>
  </rv>
  <rv s="3">
    <v>3</v>
    <v>124</v>
  </rv>
  <rv s="4">
    <v>9</v>
    <v>https://www.bing.com/th?id=AMMS_0aa288ba528f6f45e3de87d97e250136&amp;qlt=95</v>
    <v>125</v>
    <v>0</v>
    <v>https://www.bing.com/images/search?form=xlimg&amp;q=the+walt+disney+company</v>
    <v>Image of THE WALT DISNEY COMPANY</v>
  </rv>
  <rv s="0">
    <v>https://www.bing.com/financeapi/forcetrigger?t=a1r2z2&amp;q=XNYS%3aDIS&amp;form=skydnc</v>
    <v>Learn more on Bing</v>
  </rv>
  <rv s="5">
    <v>en-US</v>
    <v>a1r2z2</v>
    <v>268435456</v>
    <v>1</v>
    <v>Powered by Refinitiv</v>
    <v>5</v>
    <v>THE WALT DISNEY COMPANY (XNYS:DIS)</v>
    <v>7</v>
    <v>8</v>
    <v>Finance</v>
    <v>4</v>
    <v>160.32</v>
    <v>84.69</v>
    <v>1.2204999999999999</v>
    <v>-2.14</v>
    <v>-2.4620000000000003E-2</v>
    <v>USD</v>
    <v>The Walt Disney Company is a worldwide entertainment company. The Company’s segments include Disney Media and Entertainment Distribution (DMED), and Disney Parks, Experiences and Products (DPEP). The DMED segment encompasses the Company’s global film and episodic television content production and distribution activities. The Company’s DMED’s lines of business consists of Linear Networks, Direct-to-Consumer and Content Sales/Licensing. The Company’s DPEP segment business consists of sale of admissions to theme parks, the sale of food, beverage and merchandise at its theme parks and resorts, sales of cruise vacations, sales and rentals of vacation club properties, royalties from licensing its intellectual properties (IP) for use on consumer goods and the sale of branded merchandise. The Content Sales/Licensing business consist of selling film and episodic television content in the television and subscription video-on-demand (TV/SVOD) and home entertainment markets.</v>
    <v>190000</v>
    <v>New York Stock Exchange</v>
    <v>XNYS</v>
    <v>XNYS</v>
    <v>500 S Buena Vista St, BURBANK, CA, 91521-0001 US</v>
    <v>86.42</v>
    <v>126</v>
    <v>Media &amp; Publishing</v>
    <v>Stock</v>
    <v>44917.737146562496</v>
    <v>127</v>
    <v>84.69</v>
    <v>154604129760</v>
    <v>THE WALT DISNEY COMPANY</v>
    <v>THE WALT DISNEY COMPANY</v>
    <v>86.09</v>
    <v>49.723100000000002</v>
    <v>86.92</v>
    <v>84.78</v>
    <v>1823592000</v>
    <v>DIS</v>
    <v>THE WALT DISNEY COMPANY (XNYS:DIS)</v>
    <v>8029795</v>
    <v>16337925</v>
    <v>2018</v>
  </rv>
  <rv s="2">
    <v>128</v>
  </rv>
  <rv s="0">
    <v>https://www.bing.com/financeapi/forcetrigger?t=a25tgh&amp;q=XNYS%3aWFC&amp;form=skydnc</v>
    <v>Learn more on Bing</v>
  </rv>
  <rv s="1">
    <v>en-US</v>
    <v>a25tgh</v>
    <v>268435456</v>
    <v>1</v>
    <v>Powered by Refinitiv</v>
    <v>0</v>
    <v>WELLS FARGO &amp; COMPANY (XNYS:WFC)</v>
    <v>2</v>
    <v>3</v>
    <v>Finance</v>
    <v>4</v>
    <v>60.3</v>
    <v>36.54</v>
    <v>1.1819</v>
    <v>-1.02</v>
    <v>-2.4805000000000001E-2</v>
    <v>USD</v>
    <v>Wells Fargo &amp; Company is a financial services company. The Company provides a diversified set of banking, investment and mortgage products and services, as well as consumer and commercial finance, through banking locations and offices, the Internet (www.wellsfargo.com)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In addition, the Company offers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v>
    <v>239209</v>
    <v>New York Stock Exchange</v>
    <v>XNYS</v>
    <v>XNYS</v>
    <v>420 Montgomery St, SAN FRANCISCO, CA, 94104-1207 US</v>
    <v>40.74</v>
    <v>Banking Services</v>
    <v>Stock</v>
    <v>44917.737105265624</v>
    <v>130</v>
    <v>40.024999999999999</v>
    <v>152800689100</v>
    <v>WELLS FARGO &amp; COMPANY</v>
    <v>WELLS FARGO &amp; COMPANY</v>
    <v>40.704999999999998</v>
    <v>10.6805</v>
    <v>41.12</v>
    <v>40.1</v>
    <v>3810491000</v>
    <v>WFC</v>
    <v>WELLS FARGO &amp; COMPANY (XNYS:WFC)</v>
    <v>7667620</v>
    <v>18848997</v>
    <v>1929</v>
  </rv>
  <rv s="2">
    <v>131</v>
  </rv>
  <rv s="0">
    <v>https://www.bing.com/financeapi/forcetrigger?t=a1ook2&amp;q=XNYS%3aBMY&amp;form=skydnc</v>
    <v>Learn more on Bing</v>
  </rv>
  <rv s="1">
    <v>en-US</v>
    <v>a1ook2</v>
    <v>268435456</v>
    <v>1</v>
    <v>Powered by Refinitiv</v>
    <v>0</v>
    <v>BRISTOL-MYERS SQUIBB COMPANY (XNYS:BMY)</v>
    <v>2</v>
    <v>3</v>
    <v>Finance</v>
    <v>4</v>
    <v>81.435000000000002</v>
    <v>60.86</v>
    <v>0.41560000000000002</v>
    <v>-0.06</v>
    <v>-8.1820000000000005E-4</v>
    <v>USD</v>
    <v>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 synthesized or small molecule drugs and products produced from biological processes, called biologics. Biologics are administered to patients through injections or by infusion. Its products include Revlimid, Eliquis, Opdivo, Orencia, Pomalyst/Imnovid, Sprycel, Yervoy, Abraxane, Empliciti, Reblozyl, Inrebic, Onureg, Zeposia, Vidaza, Baraclude and Breyanzi. It also has a pipeline of investigational medicines designed to target the common mutations associated with oncogenesis, including repotrectinib. Its products are sold to wholesalers, distributors, pharmacies, retailers, hospitals, clinics, and government agencies.</v>
    <v>32200</v>
    <v>New York Stock Exchange</v>
    <v>XNYS</v>
    <v>XNYS</v>
    <v>430 E. 29Th Street, 14 Floor, NEW YORK, NY, 10016 US</v>
    <v>73.5792</v>
    <v>Pharmaceuticals</v>
    <v>Stock</v>
    <v>44917.737119096877</v>
    <v>133</v>
    <v>72.844999999999999</v>
    <v>155783743200</v>
    <v>BRISTOL-MYERS SQUIBB COMPANY</v>
    <v>BRISTOL-MYERS SQUIBB COMPANY</v>
    <v>73.11</v>
    <v>23.901599999999998</v>
    <v>73.33</v>
    <v>73.27</v>
    <v>2126160000</v>
    <v>BMY</v>
    <v>BRISTOL-MYERS SQUIBB COMPANY (XNYS:BMY)</v>
    <v>2729992</v>
    <v>9414345</v>
    <v>1933</v>
  </rv>
  <rv s="2">
    <v>134</v>
  </rv>
  <rv s="0">
    <v>https://www.bing.com/financeapi/forcetrigger?t=a1zzmw&amp;q=XNYS%3aPM&amp;form=skydnc</v>
    <v>Learn more on Bing</v>
  </rv>
  <rv s="1">
    <v>en-US</v>
    <v>a1zzmw</v>
    <v>268435456</v>
    <v>1</v>
    <v>Powered by Refinitiv</v>
    <v>0</v>
    <v>Philip Morris International Inc. (XNYS:PM)</v>
    <v>2</v>
    <v>3</v>
    <v>Finance</v>
    <v>4</v>
    <v>112.48</v>
    <v>82.85</v>
    <v>0.71450000000000002</v>
    <v>-0.44</v>
    <v>-4.3769999999999998E-3</v>
    <v>USD</v>
    <v>Philip Morris International Inc. (PMI) is an international tobacco company. The Company focuses on delivering a smoke-free future and evolving its portfolio for the long term to include products outside of the tobacco and nicotine sector. Its product portfolio consists of cigarettes and smoke-free products, including heat-not-burn, vapor and oral nicotine products, which are sold in markets outside the United States. It is engaged in developing smoke-free products for adults along with building scientific assessment capabilities in the areas of pre-clinical systems toxicology, clinical and behavioral research, as well as post-market studies. Versions of PMI's IQOS Platform 1 devices and consumables have been authorized by the U.S. Food and Drug Administration as Modified Risk Tobacco Products (MRTPs). Its portfolio consists of both international and local brands and is led by Marlboro. The Company's other cigarette brands include Bond Street, Chesterfield, L&amp;M, Lark and Philip Morris.</v>
    <v>69600</v>
    <v>New York Stock Exchange</v>
    <v>XNYS</v>
    <v>XNYS</v>
    <v>677 Washington Blvd, Ste. 1100, STAMFORD, CT, 06901 US</v>
    <v>100.9</v>
    <v>Food &amp; Tobacco</v>
    <v>Stock</v>
    <v>44917.737105150001</v>
    <v>136</v>
    <v>100</v>
    <v>155144216160</v>
    <v>Philip Morris International Inc.</v>
    <v>Philip Morris International Inc.</v>
    <v>100.405</v>
    <v>17.904499999999999</v>
    <v>100.52</v>
    <v>100.08</v>
    <v>1550202000</v>
    <v>PM</v>
    <v>Philip Morris International Inc. (XNYS:PM)</v>
    <v>1036800</v>
    <v>5757961</v>
    <v>2007</v>
  </rv>
  <rv s="2">
    <v>137</v>
  </rv>
  <rv s="0">
    <v>https://www.bing.com/financeapi/forcetrigger?t=a24p1h&amp;q=XNAS%3aTXN&amp;form=skydnc</v>
    <v>Learn more on Bing</v>
  </rv>
  <rv s="1">
    <v>en-US</v>
    <v>a24p1h</v>
    <v>268435456</v>
    <v>1</v>
    <v>Powered by Refinitiv</v>
    <v>0</v>
    <v>TEXAS INSTRUMENTS INCORPORATED (XNAS:TXN)</v>
    <v>2</v>
    <v>3</v>
    <v>Finance</v>
    <v>4</v>
    <v>193.28</v>
    <v>144.4589</v>
    <v>1.0052000000000001</v>
    <v>-7.165</v>
    <v>-4.2464000000000002E-2</v>
    <v>USD</v>
    <v>Texas Instruments Incorporated designs, makes and sells semiconductors to electronics designers and manufacturers across the world. The Company operates through two segments: Analog and Embedded Processing. The Company's Analog segment product lines include Power and Signal Chain. Power includes products that help customers manage power in electronic systems. Signal Chain includes products that sense, condition and measure signals to allow information to be transferred or converted for further processing and control. The Embedded Processing segment includes microcontrollers, digital signal processors (DSPs), and applications processors. Microcontrollers are self-contained systems with a processor core, memory and peripherals that are designed to control a set of specific tasks for electronic equipment. DSPs perform mathematical computations to process or improve digital data. Applications processors are designed for specific computing activities.</v>
    <v>31000</v>
    <v>Nasdaq Stock Market</v>
    <v>XNAS</v>
    <v>XNAS</v>
    <v>12500 T I Blvd, DALLAS, TX, 75243-0592 US</v>
    <v>166.52</v>
    <v>Semiconductors &amp; Semiconductor Equipment</v>
    <v>Stock</v>
    <v>44917.737104976564</v>
    <v>139</v>
    <v>161.49</v>
    <v>146631821710</v>
    <v>TEXAS INSTRUMENTS INCORPORATED</v>
    <v>TEXAS INSTRUMENTS INCORPORATED</v>
    <v>166.07</v>
    <v>17.670500000000001</v>
    <v>168.73</v>
    <v>161.565</v>
    <v>907571700</v>
    <v>TXN</v>
    <v>TEXAS INSTRUMENTS INCORPORATED (XNAS:TXN)</v>
    <v>1647320</v>
    <v>5085019</v>
    <v>1938</v>
  </rv>
  <rv s="2">
    <v>140</v>
  </rv>
  <rv s="0">
    <v>https://www.bing.com/financeapi/forcetrigger?t=a1pwqh&amp;q=XNAS%3aCMCSA&amp;form=skydnc</v>
    <v>Learn more on Bing</v>
  </rv>
  <rv s="1">
    <v>en-US</v>
    <v>a1pwqh</v>
    <v>268435456</v>
    <v>1</v>
    <v>Powered by Refinitiv</v>
    <v>0</v>
    <v>COMCAST CORPORATION (XNAS:CMCSA)</v>
    <v>2</v>
    <v>3</v>
    <v>Finance</v>
    <v>4</v>
    <v>52.1</v>
    <v>28.39</v>
    <v>1.0092000000000001</v>
    <v>-0.62</v>
    <v>-1.7674000000000002E-2</v>
    <v>USD</v>
    <v>Comcast Corporation is a media and technology company. The Company has three primary businesses: Comcast Cable, NBCUniversal and Sky. Its Comcast Cable business operates in the Cable Communications segment. Its NBCUniversal business operates in three business segments: Media, Studios and Theme Parks. Its Cable Communications segment consists of the operations of comcast cable, which provides broadband, video, voice, wireless, and other services under the XFINITY brand. Its Media segment consists of television and streaming platforms, including national, regional, and international cable networks. Its Studios segment consists of film and television studio production and distribution operations. Its Theme Parks segment consists primarily of its Universal theme parks. The Sky primarily includes a direct-to-consumer business, providing video, broadband, voice and wireless phone services. It also includes Peacock, its direct-to-consumer streaming service within the NBCUniversal segments.</v>
    <v>189000</v>
    <v>Nasdaq Stock Market</v>
    <v>XNAS</v>
    <v>XNAS</v>
    <v>1 Comcast Ctr, PHILADELPHIA, PA, 19103-2838 US</v>
    <v>35.11</v>
    <v>Telecommunications Services</v>
    <v>Stock</v>
    <v>44917.73710071719</v>
    <v>142</v>
    <v>34.450000000000003</v>
    <v>148984674140</v>
    <v>COMCAST CORPORATION</v>
    <v>COMCAST CORPORATION</v>
    <v>34.76</v>
    <v>30.503</v>
    <v>35.08</v>
    <v>34.46</v>
    <v>4323409000</v>
    <v>CMCSA</v>
    <v>COMCAST CORPORATION (XNAS:CMCSA)</v>
    <v>9338522</v>
    <v>25650362</v>
    <v>2001</v>
  </rv>
  <rv s="2">
    <v>143</v>
  </rv>
  <rv s="0">
    <v>https://www.bing.com/financeapi/forcetrigger?t=a25552&amp;q=XNYS%3aRTX&amp;form=skydnc</v>
    <v>Learn more on Bing</v>
  </rv>
  <rv s="1">
    <v>en-US</v>
    <v>a25552</v>
    <v>268435456</v>
    <v>1</v>
    <v>Powered by Refinitiv</v>
    <v>0</v>
    <v>RAYTHEON TECHNOLOGIES CORPORATION (XNYS:RTX)</v>
    <v>2</v>
    <v>3</v>
    <v>Finance</v>
    <v>4</v>
    <v>106.02</v>
    <v>80.27</v>
    <v>1.1121000000000001</v>
    <v>-2.2200000000000002</v>
    <v>-2.2252999999999998E-2</v>
    <v>USD</v>
    <v>Raytheon Technologies Corporation is an aerospace and defense company that is engaged in providing advanced systems and services for commercial, military and government customers globally. The Company's operations are classified into four principal business segments: Collins Aerospace Systems, which is a global provider of aerospace and defense products and aftermarket service solutions for aircraft manufacturers, airlines, general aviation, as well as for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v>
    <v>174000</v>
    <v>New York Stock Exchange</v>
    <v>XNYS</v>
    <v>XNYS</v>
    <v>1000 Wilson Blvd., ARLINGTON, VA, 22209 US</v>
    <v>99.61</v>
    <v>Aerospace &amp; Defense</v>
    <v>Stock</v>
    <v>44917.737121967184</v>
    <v>145</v>
    <v>97.47</v>
    <v>143389749940</v>
    <v>RAYTHEON TECHNOLOGIES CORPORATION</v>
    <v>RAYTHEON TECHNOLOGIES CORPORATION</v>
    <v>99.52</v>
    <v>33.267499999999998</v>
    <v>99.76</v>
    <v>97.54</v>
    <v>1470061000</v>
    <v>RTX</v>
    <v>RAYTHEON TECHNOLOGIES CORPORATION (XNYS:RTX)</v>
    <v>1209742</v>
    <v>4124698</v>
    <v>1934</v>
  </rv>
  <rv s="2">
    <v>146</v>
  </rv>
  <rv s="0">
    <v>https://www.bing.com/financeapi/forcetrigger?t=a1yjxm&amp;q=XNYS%3aNKE&amp;form=skydnc</v>
    <v>Learn more on Bing</v>
  </rv>
  <rv s="1">
    <v>en-US</v>
    <v>a1yjxm</v>
    <v>268435456</v>
    <v>1</v>
    <v>Powered by Refinitiv</v>
    <v>0</v>
    <v>NIKE, INC. (XNYS:NKE)</v>
    <v>2</v>
    <v>3</v>
    <v>Finance</v>
    <v>4</v>
    <v>170.12</v>
    <v>82.22</v>
    <v>1.1079000000000001</v>
    <v>0.12</v>
    <v>1.036E-3</v>
    <v>USD</v>
    <v>NIKE, Inc. is engaged in the designing, marketing and distributing of athletic footwear, apparel, equipment and accessories and services for sports and fitness activities. The Company's operating segments include North America; Europe, Middle East &amp; Africa (EMEA); Greater China; and Asia Pacific &amp; Latin America (APLA). It sells a line of equipment and accessories under the NIKE Brand name, including bags, socks, sport balls, eyewear, timepieces, digital devices, bats, gloves, protective equipment and other equipment designed for sports activities. It also designs products specifically for the Jordan Brand and Converse. The Jordan Brand designs, distributes and licenses athletic and casual footwear, apparel and accessories predominantly focused on basketball performance and culture using the Jumpman trademark. It also designs, distributes and licenses casual sneakers, apparel and accessories under the Chuck Taylor, All Star, One Star, Star Chevron and Jack Purcell trademarks.</v>
    <v>79100</v>
    <v>New York Stock Exchange</v>
    <v>XNYS</v>
    <v>XNYS</v>
    <v>One Bowerman Dr, BEAVERTON, OR, 97005-6453 US</v>
    <v>116.8</v>
    <v>Textiles &amp; Apparel</v>
    <v>Stock</v>
    <v>44917.73710521953</v>
    <v>148</v>
    <v>114.06</v>
    <v>181336096900</v>
    <v>NIKE, INC.</v>
    <v>NIKE, INC.</v>
    <v>114.12</v>
    <v>32.660800000000002</v>
    <v>115.78</v>
    <v>115.9</v>
    <v>1564591000</v>
    <v>NKE</v>
    <v>NIKE, INC. (XNYS:NKE)</v>
    <v>8007452</v>
    <v>8609704</v>
    <v>1969</v>
  </rv>
  <rv s="2">
    <v>149</v>
  </rv>
  <rv s="0">
    <v>https://www.bing.com/financeapi/forcetrigger?t=a1q5nm&amp;q=XNYS%3aCOP&amp;form=skydnc</v>
    <v>Learn more on Bing</v>
  </rv>
  <rv s="1">
    <v>en-US</v>
    <v>a1q5nm</v>
    <v>268435456</v>
    <v>1</v>
    <v>Powered by Refinitiv</v>
    <v>0</v>
    <v>CONOCOPHILLIPS (XNYS:COP)</v>
    <v>2</v>
    <v>3</v>
    <v>Finance</v>
    <v>4</v>
    <v>138.49</v>
    <v>69.86</v>
    <v>1.3158000000000001</v>
    <v>-4.13</v>
    <v>-3.5518000000000001E-2</v>
    <v>USD</v>
    <v>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and Libya. The Other International segment includes exploration activities in Colombia.</v>
    <v>9400</v>
    <v>New York Stock Exchange</v>
    <v>XNYS</v>
    <v>XNYS</v>
    <v>925 N. Eldridge Parkway, HOUSTON, TX, 77079-2703 US</v>
    <v>116.78</v>
    <v>Oil &amp; Gas</v>
    <v>Stock</v>
    <v>44917.737107221874</v>
    <v>151</v>
    <v>111.9815</v>
    <v>139746862650</v>
    <v>CONOCOPHILLIPS</v>
    <v>CONOCOPHILLIPS</v>
    <v>116.15</v>
    <v>8.3468999999999998</v>
    <v>116.28</v>
    <v>112.15</v>
    <v>1246071000</v>
    <v>COP</v>
    <v>CONOCOPHILLIPS (XNYS:COP)</v>
    <v>1884010</v>
    <v>6402553</v>
    <v>2001</v>
  </rv>
  <rv s="2">
    <v>152</v>
  </rv>
  <rv s="0">
    <v>https://www.bing.com/financeapi/forcetrigger?t=a1ut3m&amp;q=XNAS%3aHON&amp;form=skydnc</v>
    <v>Learn more on Bing</v>
  </rv>
  <rv s="1">
    <v>en-US</v>
    <v>a1ut3m</v>
    <v>268435456</v>
    <v>1</v>
    <v>Powered by Refinitiv</v>
    <v>0</v>
    <v>HONEYWELL INTERNATIONAL INC. (XNAS:HON)</v>
    <v>2</v>
    <v>3</v>
    <v>Finance</v>
    <v>4</v>
    <v>221.89</v>
    <v>166.63</v>
    <v>1.1155999999999999</v>
    <v>-5.0999999999999996</v>
    <v>-2.3709999999999998E-2</v>
    <v>USD</v>
    <v>Honeywell International Inc. is a software-industrial company that provides technology solutions. The Company operates through four segments: Aerospace, Honeywell Building Technologies, Performance Materials and Technologies, and Safety and Productivity Solutions. The Aerospace segment supplies products, software and services for aircrafts that it sells to original equipment manufacturers (OEM) and other customers in various end markets. The Honeywell Building Technologies segment offers products, software, solutions and technologies that enable building owners and occupants to ensure their facilities are safe, energy efficient, sustainable and productive. The Performance Materials and Technologies segment is engaged in developing and manufacturing performance chemicals and materials, process technologies and automation solutions. The Safety and Productivity Solutions segment provides products and software that improve productivity, workplace safety, and asset performance to customers.</v>
    <v>99000</v>
    <v>Nasdaq Stock Market</v>
    <v>XNAS</v>
    <v>XNAS</v>
    <v>855 S. Mint Street, CHARLOTTE, NC, 28202 US</v>
    <v>214.61</v>
    <v>Consumer Goods Conglomerates</v>
    <v>Stock</v>
    <v>44917.737126214844</v>
    <v>154</v>
    <v>209.93</v>
    <v>141187662000</v>
    <v>HONEYWELL INTERNATIONAL INC.</v>
    <v>HONEYWELL INTERNATIONAL INC.</v>
    <v>214.61</v>
    <v>27.5139</v>
    <v>215.1</v>
    <v>210</v>
    <v>672322200</v>
    <v>HON</v>
    <v>HONEYWELL INTERNATIONAL INC. (XNAS:HON)</v>
    <v>641314</v>
    <v>2907177</v>
    <v>1999</v>
  </rv>
  <rv s="2">
    <v>155</v>
  </rv>
  <rv s="0">
    <v>http://en.wikipedia.org/wiki/Amgen</v>
    <v>Wikipedia</v>
  </rv>
  <rv s="3">
    <v>3</v>
    <v>157</v>
  </rv>
  <rv s="4">
    <v>9</v>
    <v>https://www.bing.com/th?id=AMMS_7651d2e878d4df4bb82a200be2db03e3&amp;qlt=95</v>
    <v>158</v>
    <v>0</v>
    <v>https://www.bing.com/images/search?form=xlimg&amp;q=amgen</v>
    <v>Image of AMGEN INC.</v>
  </rv>
  <rv s="0">
    <v>https://www.bing.com/financeapi/forcetrigger?t=a1nec7&amp;q=XNAS%3aAMGN&amp;form=skydnc</v>
    <v>Learn more on Bing</v>
  </rv>
  <rv s="5">
    <v>en-US</v>
    <v>a1nec7</v>
    <v>268435456</v>
    <v>1</v>
    <v>Powered by Refinitiv</v>
    <v>5</v>
    <v>AMGEN INC. (XNAS:AMGN)</v>
    <v>7</v>
    <v>8</v>
    <v>Finance</v>
    <v>4</v>
    <v>296.67</v>
    <v>214.39150000000001</v>
    <v>0.66320000000000001</v>
    <v>-1.89</v>
    <v>-7.0980000000000001E-3</v>
    <v>USD</v>
    <v>Amgen Inc. is a biotechnology company. The Company discovers, develops, manufactures and delivers various human therapeutics. It operates in human therapeutics segment. Its marketed products portfolio includes Neulasta (pegfilgrastim); erythropoiesis-stimulating agents (ESAs), such as Aranesp (darbepoetin alfa) and EPOGEN (epoetin alfa); Sensipar/Mimpara (cinacalcet); XGEVA (denosumab); Prolia (denosumab); NEUPOGEN (filgrastim), and other marketed products, such as KYPROLIS (carfilzomib), Vectibix (panitumumab), Nplate (romiplostim), Repatha (evolocumab), BLINCYTO (blinatumomab), IMLYGIC (talimogene laherparepvec) and Corlanor (ivabradine). It focuses on human therapeutics for the treatment of serious illness in the areas of oncology/hematology, cardiovascular disease and neuroscience. Its product candidates in Phase III include Erenumab for episodic migraine, Aranesp for myelodysplastic syndromes, BLINCYTO for acute lymphoblastic leukemia and IMLYGIC for metastatic melanoma.</v>
    <v>24200</v>
    <v>Nasdaq Stock Market</v>
    <v>XNAS</v>
    <v>XNAS</v>
    <v>One Amgen Center Drive, THOUSAND OAKS, CA, 91320-1799 US</v>
    <v>266.16500000000002</v>
    <v>159</v>
    <v>Pharmaceuticals</v>
    <v>Stock</v>
    <v>44917.737090416405</v>
    <v>160</v>
    <v>263.37</v>
    <v>141062333104</v>
    <v>AMGEN INC.</v>
    <v>AMGEN INC.</v>
    <v>265.8</v>
    <v>21.3323</v>
    <v>266.26</v>
    <v>264.37</v>
    <v>533579200</v>
    <v>AMGN</v>
    <v>AMGEN INC. (XNAS:AMGN)</v>
    <v>572239</v>
    <v>2985443</v>
    <v>1986</v>
  </rv>
  <rv s="2">
    <v>161</v>
  </rv>
  <rv s="0">
    <v>https://www.bing.com/financeapi/forcetrigger?t=a1ygoc&amp;q=XNAS%3aNFLX&amp;form=skydnc</v>
    <v>Learn more on Bing</v>
  </rv>
  <rv s="1">
    <v>en-US</v>
    <v>a1ygoc</v>
    <v>268435456</v>
    <v>1</v>
    <v>Powered by Refinitiv</v>
    <v>0</v>
    <v>NETFLIX, INC. (XNAS:NFLX)</v>
    <v>2</v>
    <v>3</v>
    <v>Finance</v>
    <v>4</v>
    <v>620.61</v>
    <v>162.71</v>
    <v>1.2726999999999999</v>
    <v>-6.48</v>
    <v>-2.1748E-2</v>
    <v>USD</v>
    <v>Netflix, Inc. is an entertainment services company. The Company has paid streaming memberships in over 190 countries, and it allows members to watch a variety of television (TV) series, documentaries, feature films and mobile games across a variety of genres and languages. Its members can watch as much as they want, anytime, anywhere, on any Internet-connected screen. Members can play, pause and resume watching, without commercials. Additionally, the Company offers its digital versatile disk (DVD) -by-mail service in the United States. It offers a variety of streaming membership plans, the price of which varies by country and the features of the plan. The pricing of its plans ranges from U.S. dollar equivalent of approximately $2 to $27 per month. It members can watch streaming content through a host of Internet-connected devices, including TVs, digital video players, TV set-top boxes and mobile devices. It acquires, licenses and produces content, including original programming.</v>
    <v>11300</v>
    <v>Nasdaq Stock Market</v>
    <v>XNAS</v>
    <v>XNAS</v>
    <v>121 Albright Way, LOS GATOS, CA, 95032 US</v>
    <v>298.88</v>
    <v>Software &amp; IT Services</v>
    <v>Stock</v>
    <v>44917.737122870312</v>
    <v>163</v>
    <v>291.24</v>
    <v>129714575340</v>
    <v>NETFLIX, INC.</v>
    <v>NETFLIX, INC.</v>
    <v>298.08999999999997</v>
    <v>28.093599999999999</v>
    <v>297.95999999999998</v>
    <v>291.48</v>
    <v>445020500</v>
    <v>NFLX</v>
    <v>NETFLIX, INC. (XNAS:NFLX)</v>
    <v>4684959</v>
    <v>9102931</v>
    <v>1997</v>
  </rv>
  <rv s="2">
    <v>164</v>
  </rv>
  <rv s="0">
    <v>https://www.bing.com/financeapi/forcetrigger?t=a1qc1h&amp;q=XNYS%3aCRM&amp;form=skydnc</v>
    <v>Learn more on Bing</v>
  </rv>
  <rv s="1">
    <v>en-US</v>
    <v>a1qc1h</v>
    <v>268435456</v>
    <v>1</v>
    <v>Powered by Refinitiv</v>
    <v>0</v>
    <v>SALESFORCE, INC. (XNYS:CRM)</v>
    <v>2</v>
    <v>3</v>
    <v>Finance</v>
    <v>4</v>
    <v>260.77999999999997</v>
    <v>126.6</v>
    <v>1.147</v>
    <v>-3.47</v>
    <v>-2.6631000000000002E-2</v>
    <v>USD</v>
    <v>Salesforce, Inc., formerly Salesforce.com, Inc., is a provider of customer relationship management (CRM) platform. Its Customer 360 platform delivers a source, which connects customer data across systems, applications and devices to help companies sell, service, market and conduct commerce from anywhere. It focuses on cloud, mobile, social, analytics and artificial intelligence, which connect to its customers and enable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service offering helps to connect its service agents with customers across any touchpoint. It helps customers to resolve routine issues with predictions and recommendations.</v>
    <v>73541</v>
    <v>New York Stock Exchange</v>
    <v>XNYS</v>
    <v>XNYS</v>
    <v>SALESFORCE TOWER, 415 MISSION STREET 3RD FL, SAN FRANCISCO, CA, 94105 US</v>
    <v>129.54</v>
    <v>Software &amp; IT Services</v>
    <v>Stock</v>
    <v>44917.737119536716</v>
    <v>166</v>
    <v>126.69</v>
    <v>126830000000</v>
    <v>SALESFORCE, INC.</v>
    <v>SALESFORCE, INC.</v>
    <v>128.55000000000001</v>
    <v>469.6003</v>
    <v>130.30000000000001</v>
    <v>126.83</v>
    <v>1000000000</v>
    <v>CRM</v>
    <v>SALESFORCE, INC. (XNYS:CRM)</v>
    <v>3628868</v>
    <v>11435367</v>
    <v>1999</v>
  </rv>
  <rv s="2">
    <v>167</v>
  </rv>
  <rv s="0">
    <v>https://www.bing.com/financeapi/forcetrigger?t=a23www&amp;q=XNYS%3aT&amp;form=skydnc</v>
    <v>Learn more on Bing</v>
  </rv>
  <rv s="1">
    <v>en-US</v>
    <v>a23www</v>
    <v>268435456</v>
    <v>1</v>
    <v>Powered by Refinitiv</v>
    <v>0</v>
    <v>AT&amp;T INC. (XNYS:T)</v>
    <v>2</v>
    <v>3</v>
    <v>Finance</v>
    <v>4</v>
    <v>21.53</v>
    <v>14.46</v>
    <v>0.57650000000000001</v>
    <v>-0.1804</v>
    <v>-9.9389999999999999E-3</v>
    <v>USD</v>
    <v>AT&amp;T Inc. is a holding company. The Company is a provider of telecommunications, media, and technology services globally. The Company operates through two segments, namely Communications and Latin America. The Communications segment provides wireless and wireline telecom and broadband services to consumers located in the United States and globally. The business units of the Communication segment include Mobility, Business Wireline, and Consumer Wireline. Mobility provides nationwide wireless service and equipment. Business Wireline provides advanced ethernet-based fiber services, IP Voice, and managed professional services, as well as traditional voice and data services and related equipment to business customers. Consumer Wireline provides broadband services, including fiber connections. Consumer Wireline also provides legacy telephony voice communication services. The Latin America segment provides wireless services and equipment in Mexico.</v>
    <v>203000</v>
    <v>New York Stock Exchange</v>
    <v>XNYS</v>
    <v>XNYS</v>
    <v>208 S. Akard St, DALLAS, TX, 75202 US</v>
    <v>18.100000000000001</v>
    <v>Telecommunications Services</v>
    <v>Stock</v>
    <v>44917.737128633591</v>
    <v>169</v>
    <v>17.940000000000001</v>
    <v>129355000000</v>
    <v>AT&amp;T INC.</v>
    <v>AT&amp;T INC.</v>
    <v>18.05</v>
    <v>6.6795999999999998</v>
    <v>18.149999999999999</v>
    <v>17.9696</v>
    <v>7127000000</v>
    <v>T</v>
    <v>AT&amp;T INC. (XNYS:T)</v>
    <v>13223746</v>
    <v>38950311</v>
    <v>1983</v>
  </rv>
  <rv s="2">
    <v>170</v>
  </rv>
  <rv s="0">
    <v>https://www.bing.com/financeapi/forcetrigger?t=a24ynm&amp;q=XNYS%3aUPS&amp;form=skydnc</v>
    <v>Learn more on Bing</v>
  </rv>
  <rv s="1">
    <v>en-US</v>
    <v>a24ynm</v>
    <v>268435456</v>
    <v>1</v>
    <v>Powered by Refinitiv</v>
    <v>0</v>
    <v>UNITED PARCEL SERVICE, INC. (XNYS:UPS)</v>
    <v>2</v>
    <v>3</v>
    <v>Finance</v>
    <v>4</v>
    <v>233.72</v>
    <v>154.87180000000001</v>
    <v>1.1187</v>
    <v>-3.13</v>
    <v>-1.7715999999999999E-2</v>
    <v>USD</v>
    <v>United Parcel Service, Inc. is a package delivery company and a provider of global supply chain management solutions. Its segments include U.S. Domestic Package and International Package. U.S. Domestic Package and International Package are together referred to as its global small package operations. Its global small package operations provide delivery services for express letters, documents, packages and palletized freight via air and ground services. The U.S. Domestic Package segment offers small package delivery services in the United States and offers a spectrum of United States domestic guaranteed air and ground package transportation services. The International Package segment consists of its small package operations in Europe, Asia Pacific, Canada, Latin America and Indian sub-continent, Middle East and Africa (ISMEA). Its remaining businesses include Supply Chain Solutions, which consists of its forwarding, truckload brokerage, logistics and distribution, and other businesses.</v>
    <v>534000</v>
    <v>New York Stock Exchange</v>
    <v>XNYS</v>
    <v>XNYS</v>
    <v>55 Glenlake Parkway Ne, ATLANTA, GA, 30328 US</v>
    <v>175.25899999999999</v>
    <v>Freight &amp; Logistics Services</v>
    <v>Stock</v>
    <v>44917.737102742969</v>
    <v>172</v>
    <v>173.06</v>
    <v>150106553610</v>
    <v>UNITED PARCEL SERVICE, INC.</v>
    <v>UNITED PARCEL SERVICE, INC.</v>
    <v>174.97</v>
    <v>13.83</v>
    <v>176.68</v>
    <v>173.55</v>
    <v>864918200</v>
    <v>UPS</v>
    <v>UNITED PARCEL SERVICE, INC. (XNYS:UPS)</v>
    <v>1109293</v>
    <v>3590617</v>
    <v>1999</v>
  </rv>
  <rv s="2">
    <v>173</v>
  </rv>
  <rv s="0">
    <v>http://en.wikipedia.org/wiki/IBM</v>
    <v>Wikipedia</v>
  </rv>
  <rv s="3">
    <v>3</v>
    <v>175</v>
  </rv>
  <rv s="4">
    <v>9</v>
    <v>https://www.bing.com/th?id=AMMS_41da901be1b295dc42c72dadb9c0f67d&amp;qlt=95</v>
    <v>176</v>
    <v>0</v>
    <v>https://www.bing.com/images/search?form=xlimg&amp;q=ibm</v>
    <v>Image of INTERNATIONAL BUSINESS MACHINES CORPORATION</v>
  </rv>
  <rv s="0">
    <v>https://www.bing.com/financeapi/forcetrigger?t=a1v6nm&amp;q=XNYS%3aIBM&amp;form=skydnc</v>
    <v>Learn more on Bing</v>
  </rv>
  <rv s="5">
    <v>en-US</v>
    <v>a1v6nm</v>
    <v>268435456</v>
    <v>1</v>
    <v>Powered by Refinitiv</v>
    <v>5</v>
    <v>INTERNATIONAL BUSINESS MACHINES CORPORATION (XNYS:IBM)</v>
    <v>7</v>
    <v>8</v>
    <v>Finance</v>
    <v>4</v>
    <v>153.21</v>
    <v>115.545</v>
    <v>0.8841</v>
    <v>-2.7650000000000001</v>
    <v>-1.9453000000000002E-2</v>
    <v>USD</v>
    <v>International Business Machines Corporation (IBM) is a technology company engaged in providing hybrid cloud and artificial intelligence (AI) solutions. It offers integrated solutions and products that use data and information technology (IT) in industries and business processes. Its segments include Software, Consulting, Infrastructure and Financing. Software segment consists of two business areas: Hybrid Platform &amp; Solutions, which includes software to help clients operate, manage, and optimize their IT resources and business processes within hybrid, multi-cloud environments, and Transaction Processing, which includes software that supports clients’ mission-critical, on-premises workloads in various sectors. Consulting segment is engaged in business transformation, technology consulting and application operations. Infrastructure segment is engaged in hybrid infrastructure and infrastructure support. Financing segment is engaged in client financing and commercial financing business.</v>
    <v>307600</v>
    <v>New York Stock Exchange</v>
    <v>XNYS</v>
    <v>XNYS</v>
    <v>1 New Orchard Rd, ARMONK, NY, 10504 US</v>
    <v>141.44</v>
    <v>177</v>
    <v>Software &amp; IT Services</v>
    <v>Stock</v>
    <v>44917.737125265623</v>
    <v>178</v>
    <v>139.16999999999999</v>
    <v>126012603062</v>
    <v>INTERNATIONAL BUSINESS MACHINES CORPORATION</v>
    <v>INTERNATIONAL BUSINESS MACHINES CORPORATION</v>
    <v>141.13</v>
    <v>87.763499999999993</v>
    <v>142.13999999999999</v>
    <v>139.375</v>
    <v>904126300</v>
    <v>IBM</v>
    <v>INTERNATIONAL BUSINESS MACHINES CORPORATION (XNYS:IBM)</v>
    <v>1367064</v>
    <v>4460934</v>
    <v>1911</v>
  </rv>
  <rv s="2">
    <v>179</v>
  </rv>
  <rv s="0">
    <v>http://en.wikipedia.org/wiki/Qualcomm</v>
    <v>Wikipedia</v>
  </rv>
  <rv s="3">
    <v>3</v>
    <v>181</v>
  </rv>
  <rv s="4">
    <v>9</v>
    <v>https://www.bing.com/th?id=AMMS_2b1c176dae370ecc0d55a1517537f595&amp;qlt=95</v>
    <v>182</v>
    <v>0</v>
    <v>https://www.bing.com/images/search?form=xlimg&amp;q=qualcomm</v>
    <v>Image of QUALCOMM INCORPORATED</v>
  </rv>
  <rv s="0">
    <v>https://www.bing.com/financeapi/forcetrigger?t=a21k2w&amp;q=XNAS%3aQCOM&amp;form=skydnc</v>
    <v>Learn more on Bing</v>
  </rv>
  <rv s="5">
    <v>en-US</v>
    <v>a21k2w</v>
    <v>268435456</v>
    <v>1</v>
    <v>Powered by Refinitiv</v>
    <v>5</v>
    <v>QUALCOMM INCORPORATED (XNAS:QCOM)</v>
    <v>7</v>
    <v>8</v>
    <v>Finance</v>
    <v>4</v>
    <v>193.58</v>
    <v>101.93</v>
    <v>1.2357</v>
    <v>-7.12</v>
    <v>-6.2134999999999996E-2</v>
    <v>USD</v>
    <v>Qualcomm Incorporated is engaged in the development and commercialization of foundational technologies for the wireless industry. Its segments include Qualcomm CDMA Technologies (QCT), Qualcomm Technology Licensing (QTL) and Qualcomm Strategic Initiatives (QSI). QCT segment develops and supplies integrated circuits and system software based on third generation/fourth generation/fifth generation (3G/4G/5G) and other technologies for use in wireless voice and data communications, networking, computing, multimedia and global positioning system (GPS) products. QTL segment grants licenses or otherwise provides rights to use portions of its intellectual property portfolio, which, among other rights, includes certain patent rights essential to and/or useful in the manufacture, sale and/or use of certain wireless products, including, without limitation, products implementing CDMA2000, WCDMA, LTE and/or OFDMA-based 5G standards and their derivatives. QSI segment makes strategic investments.</v>
    <v>51000</v>
    <v>Nasdaq Stock Market</v>
    <v>XNAS</v>
    <v>XNAS</v>
    <v>5775 Morehouse Dr, SAN DIEGO, CA, 92121 US</v>
    <v>112.59</v>
    <v>183</v>
    <v>Semiconductors &amp; Semiconductor Equipment</v>
    <v>Stock</v>
    <v>44917.737122916405</v>
    <v>184</v>
    <v>107.375</v>
    <v>120473870000</v>
    <v>QUALCOMM INCORPORATED</v>
    <v>QUALCOMM INCORPORATED</v>
    <v>112.57</v>
    <v>10.030900000000001</v>
    <v>114.59</v>
    <v>107.47</v>
    <v>1121000000</v>
    <v>QCOM</v>
    <v>QUALCOMM INCORPORATED (XNAS:QCOM)</v>
    <v>4656686</v>
    <v>7564951</v>
    <v>1991</v>
  </rv>
  <rv s="2">
    <v>185</v>
  </rv>
  <rv s="0">
    <v>https://www.bing.com/financeapi/forcetrigger?t=a24xww&amp;q=XNYS%3aUNP&amp;form=skydnc</v>
    <v>Learn more on Bing</v>
  </rv>
  <rv s="1">
    <v>en-US</v>
    <v>a24xww</v>
    <v>268435456</v>
    <v>1</v>
    <v>Powered by Refinitiv</v>
    <v>0</v>
    <v>UNION PACIFIC CORPORATION (XNYS:UNP)</v>
    <v>2</v>
    <v>3</v>
    <v>Finance</v>
    <v>4</v>
    <v>278.94</v>
    <v>183.7</v>
    <v>1.1176999999999999</v>
    <v>-2.3144999999999998</v>
    <v>-1.1105E-2</v>
    <v>USD</v>
    <v>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The Company's Railroad's diversified business mix includes Bulk, Industrial, and Premium. The Company's Bulk shipments consist of grain and grain products, fertilizer, food and refrigerated, and coal and renewables. Its Industrial shipments consist of several categories, including construction, industrial chemicals, plastics, and forest products, among others. Its Premium shipments include finished automobiles, automotive parts, and merchandise in intermodal containers, both domestic and international.</v>
    <v>30582</v>
    <v>New York Stock Exchange</v>
    <v>XNYS</v>
    <v>XNYS</v>
    <v>1400 Douglas Street, OMAHA, NE, 68179 US</v>
    <v>208.14500000000001</v>
    <v>Freight &amp; Logistics Services</v>
    <v>Stock</v>
    <v>44917.737135578122</v>
    <v>187</v>
    <v>205.92</v>
    <v>126713826284</v>
    <v>UNION PACIFIC CORPORATION</v>
    <v>UNION PACIFIC CORPORATION</v>
    <v>207.24</v>
    <v>18.584399999999999</v>
    <v>208.42</v>
    <v>206.10550000000001</v>
    <v>614800800</v>
    <v>UNP</v>
    <v>UNION PACIFIC CORPORATION (XNYS:UNP)</v>
    <v>685089</v>
    <v>2953331</v>
    <v>1969</v>
  </rv>
  <rv s="2">
    <v>188</v>
  </rv>
  <rv s="0">
    <v>https://www.bing.com/financeapi/forcetrigger?t=a1p7zr&amp;q=XNYS%3aCAT&amp;form=skydnc</v>
    <v>Learn more on Bing</v>
  </rv>
  <rv s="1">
    <v>en-US</v>
    <v>a1p7zr</v>
    <v>268435456</v>
    <v>1</v>
    <v>Powered by Refinitiv</v>
    <v>0</v>
    <v>CATERPILLAR INC. (XNYS:CAT)</v>
    <v>2</v>
    <v>3</v>
    <v>Finance</v>
    <v>4</v>
    <v>241.9101</v>
    <v>160.6</v>
    <v>1.0974999999999999</v>
    <v>-7.35</v>
    <v>-3.0405999999999999E-2</v>
    <v>USD</v>
    <v>Caterpillar Inc. is a manufacturer of construction and mining equipment, diesel and natural gas engines, industrial gas turbines and diesel-electric locomotives. The Company operates through its three primary segments : Construction Industries, Resource Industries and Energy &amp; Transportation. It also provides financing and related services through its Financial Products segment. Its Construction Industries is engaged in supporting customers using machinery in infrastructure, forestry and building construction. Its Resource Industries is engaged in supporting customers using machinery in mining, heavy construction, quarry, waste and material handling applications. Its Energy &amp; Transportation, which supports customers in oil and gas, power generation, marine, rail and industrial applications, including Cat machines. Its All Other operating segments, which includes activities, such as product management and development, and manufacturing of filters and fluids, undercarriage, and others.</v>
    <v>107700</v>
    <v>New York Stock Exchange</v>
    <v>XNYS</v>
    <v>XNYS</v>
    <v>5205 N. O'connor Boulevard, Suite 100, IRVING, TX, 75039 US</v>
    <v>240.8</v>
    <v>Machinery, Equipment &amp; Components</v>
    <v>Stock</v>
    <v>44917.73710881875</v>
    <v>190</v>
    <v>234.29</v>
    <v>121973555172</v>
    <v>CATERPILLAR INC.</v>
    <v>CATERPILLAR INC.</v>
    <v>240.31</v>
    <v>17.655799999999999</v>
    <v>241.73</v>
    <v>234.38</v>
    <v>520409400</v>
    <v>CAT</v>
    <v>CATERPILLAR INC. (XNYS:CAT)</v>
    <v>1310328</v>
    <v>2945252</v>
    <v>1986</v>
  </rv>
  <rv s="2">
    <v>191</v>
  </rv>
  <rv s="0">
    <v>https://www.bing.com/financeapi/forcetrigger?t=a1x2ur&amp;q=XNYS%3aLOW&amp;form=skydnc</v>
    <v>Learn more on Bing</v>
  </rv>
  <rv s="1">
    <v>en-US</v>
    <v>a1x2ur</v>
    <v>268435456</v>
    <v>1</v>
    <v>Powered by Refinitiv</v>
    <v>0</v>
    <v>LOWE'S COMPANIES, INC. (XNYS:LOW)</v>
    <v>2</v>
    <v>3</v>
    <v>Finance</v>
    <v>4</v>
    <v>260.83</v>
    <v>170.12</v>
    <v>1.1435999999999999</v>
    <v>-6.39</v>
    <v>-3.1566000000000004E-2</v>
    <v>USD</v>
    <v>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It offers installation services through contractors in its product categories, with Flooring, Kitchens and Bath, Millwork, Appliances, and Lumber. Through its Websites and mobile applications, it provides an online product information, customer ratings and reviews, online buying guides and how-to videos and other information. It serves homeowners, renters, and professional customers. The Company operates approximately 2,200 stores in the United States and Canada.</v>
    <v>200000</v>
    <v>New York Stock Exchange</v>
    <v>XNYS</v>
    <v>XNYS</v>
    <v>1000 Lowes Blvd, MOORESVILLE, NC, 28117-8520 US</v>
    <v>200.22499999999999</v>
    <v>Specialty Retailers</v>
    <v>Stock</v>
    <v>44917.73710513828</v>
    <v>193</v>
    <v>195.81</v>
    <v>122409900000</v>
    <v>LOWE'S COMPANIES, INC.</v>
    <v>LOWE'S COMPANIES, INC.</v>
    <v>198.71</v>
    <v>19.849299999999999</v>
    <v>202.43</v>
    <v>196.04</v>
    <v>604702600</v>
    <v>LOW</v>
    <v>LOWE'S COMPANIES, INC. (XNYS:LOW)</v>
    <v>1107821</v>
    <v>3448269</v>
    <v>1952</v>
  </rv>
  <rv s="2">
    <v>194</v>
  </rv>
  <rv s="0">
    <v>http://pt.wikipedia.org/wiki/Oracle_Corporation</v>
    <v>Wikipedia</v>
  </rv>
  <rv s="3">
    <v>3</v>
    <v>196</v>
  </rv>
  <rv s="4">
    <v>9</v>
    <v>https://www.bing.com/th?id=AMMS_672116c618c664d13b2515d6587ba357&amp;qlt=95</v>
    <v>197</v>
    <v>0</v>
    <v>https://www.bing.com/images/search?form=xlimg&amp;q=oracle+corporation</v>
    <v>Image of ORACLE CORPORATION</v>
  </rv>
  <rv s="0">
    <v>https://www.bing.com/financeapi/forcetrigger?t=a1zbec&amp;q=XNYS%3aORCL&amp;form=skydnc</v>
    <v>Learn more on Bing</v>
  </rv>
  <rv s="5">
    <v>en-US</v>
    <v>a1zbec</v>
    <v>268435456</v>
    <v>1</v>
    <v>Powered by Refinitiv</v>
    <v>5</v>
    <v>ORACLE CORPORATION (XNYS:ORCL)</v>
    <v>7</v>
    <v>8</v>
    <v>Finance</v>
    <v>4</v>
    <v>91.86</v>
    <v>60.78</v>
    <v>1.0154000000000001</v>
    <v>-1.69</v>
    <v>-2.0735999999999997E-2</v>
    <v>USD</v>
    <v>Oracle Corporation provides products and services that address enterprise information technology (IT) environments. The Company’s businesses include cloud and license, hardware and services. Its products and services include applications and infrastructure offerings that are delivered through a variety of IT deployment models. These models include on-premises deployments, cloud-based deployments, and hybrid deployments. Its Oracle Cloud Services offerings include Oracle software-as-a-service (SaaS) and Oracle Cloud Infrastructure (OCI) offerings, which provides integrated stack of applications and infrastructure services delivered via cloud-based deployment models. Its Oracle Cloud Services integrate the IT components, including software, hardware and services, on a customer’s behalf in a cloud-based IT environment. Its Oracle cloud license and on-premise license deployment offerings include Oracle Applications, Oracle Database and Oracle Middleware software offerings, among others.</v>
    <v>143000</v>
    <v>New York Stock Exchange</v>
    <v>XNYS</v>
    <v>XNYS</v>
    <v>500 Oracle Parkway, Mail Stop 5 Op 7, REDWOOD CITY, CA, 94065 US</v>
    <v>81.17</v>
    <v>198</v>
    <v>Software &amp; IT Services</v>
    <v>Stock</v>
    <v>44917.737019027343</v>
    <v>199</v>
    <v>79.75</v>
    <v>215187951930</v>
    <v>ORACLE CORPORATION</v>
    <v>ORACLE CORPORATION</v>
    <v>80.94</v>
    <v>25.454799999999999</v>
    <v>81.5</v>
    <v>79.81</v>
    <v>2696253000</v>
    <v>ORCL</v>
    <v>ORACLE CORPORATION (XNYS:ORCL)</v>
    <v>2745367</v>
    <v>8137871</v>
    <v>2005</v>
  </rv>
  <rv s="2">
    <v>200</v>
  </rv>
  <rv s="0">
    <v>https://www.bing.com/financeapi/forcetrigger?t=a1qlnm&amp;q=XNYS%3aCVS&amp;form=skydnc</v>
    <v>Learn more on Bing</v>
  </rv>
  <rv s="1">
    <v>en-US</v>
    <v>a1qlnm</v>
    <v>268435456</v>
    <v>1</v>
    <v>Powered by Refinitiv</v>
    <v>0</v>
    <v>CVS HEALTH CORPORATION (XNYS:CVS)</v>
    <v>2</v>
    <v>3</v>
    <v>Finance</v>
    <v>4</v>
    <v>111.25</v>
    <v>86.28</v>
    <v>0.69299999999999995</v>
    <v>-0.99919999999999998</v>
    <v>-1.0616E-2</v>
    <v>USD</v>
    <v>CVS Health Corporation, together with its subsidiaries, is a health solutions company. The Company's segments include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Retail/LTC segment sells prescription drugs and a range of health and wellness products and general merchandise. The Health Care Benefits segment offers a range of traditional, voluntary and consumer-directed health insurance products and related services. The Company's services include health &amp; wellness services, health plans, pharmacy services and prescription drug coverage. The Company has approximately 9,000 retail locations, over 1,100 walk-in medical clinics, a pharmacy benefits manager.</v>
    <v>300000</v>
    <v>New York Stock Exchange</v>
    <v>XNYS</v>
    <v>XNYS</v>
    <v>1 Cvs Dr, WOONSOCKET, RI, 02895-6146 US</v>
    <v>94.04</v>
    <v>Healthcare Providers &amp; Services</v>
    <v>Stock</v>
    <v>44917.737121793747</v>
    <v>202</v>
    <v>93.034999999999997</v>
    <v>122357658213</v>
    <v>CVS HEALTH CORPORATION</v>
    <v>CVS HEALTH CORPORATION</v>
    <v>93.56</v>
    <v>39.996099999999998</v>
    <v>94.12</v>
    <v>93.120800000000003</v>
    <v>1313967000</v>
    <v>CVS</v>
    <v>CVS HEALTH CORPORATION (XNYS:CVS)</v>
    <v>1751178</v>
    <v>5338794</v>
    <v>1996</v>
  </rv>
  <rv s="2">
    <v>203</v>
  </rv>
  <rv s="0">
    <v>https://www.bing.com/financeapi/forcetrigger?t=a22n4c&amp;q=XNYS%3aSCHW&amp;form=skydnc</v>
    <v>Learn more on Bing</v>
  </rv>
  <rv s="1">
    <v>en-US</v>
    <v>a22n4c</v>
    <v>268435456</v>
    <v>1</v>
    <v>Powered by Refinitiv</v>
    <v>0</v>
    <v>THE CHARLES SCHWAB CORPORATION (XNYS:SCHW)</v>
    <v>2</v>
    <v>3</v>
    <v>Finance</v>
    <v>4</v>
    <v>96.24</v>
    <v>59.35</v>
    <v>0.98050000000000004</v>
    <v>-1.1200000000000001</v>
    <v>-1.3785E-2</v>
    <v>USD</v>
    <v>The Charles Schwab Corporation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investment advisory, and banking and trust services to individual investors, and retirement plan services. The Advisor Services segment provides custodial, trading, banking and trust, and support services, as well as retirement business services to independent registered investment advisors (RIAs), independent retirement advisors and recordkeepers. The Company’s product offerings include brokerage, mutual funds, exchange-traded funds (ETFs), advice solutions, banking and trust.</v>
    <v>35200</v>
    <v>New York Stock Exchange</v>
    <v>XNYS</v>
    <v>XNYS</v>
    <v>3000 Schwab Way, WESTLAKE, TX, 76262 US</v>
    <v>81.42</v>
    <v>Investment Banking &amp; Investment Services</v>
    <v>Stock</v>
    <v>44917.737034062498</v>
    <v>205</v>
    <v>80.12</v>
    <v>151672600000</v>
    <v>THE CHARLES SCHWAB CORPORATION</v>
    <v>THE CHARLES SCHWAB CORPORATION</v>
    <v>80.94</v>
    <v>24.671500000000002</v>
    <v>81.25</v>
    <v>80.13</v>
    <v>1866739000</v>
    <v>SCHW</v>
    <v>THE CHARLES SCHWAB CORPORATION (XNYS:SCHW)</v>
    <v>2079732</v>
    <v>6606912</v>
    <v>1986</v>
  </rv>
  <rv s="2">
    <v>206</v>
  </rv>
  <rv s="0">
    <v>https://www.bing.com/financeapi/forcetrigger?t=a1njmw&amp;q=XNYS%3aELV&amp;form=skydnc</v>
    <v>Learn more on Bing</v>
  </rv>
  <rv s="1">
    <v>en-US</v>
    <v>a1njmw</v>
    <v>268435456</v>
    <v>1</v>
    <v>Powered by Refinitiv</v>
    <v>0</v>
    <v>ELEVANCE HEALTH, INC. (XNYS:ELV)</v>
    <v>2</v>
    <v>3</v>
    <v>Finance</v>
    <v>4</v>
    <v>549.52</v>
    <v>420.73</v>
    <v>0.90549999999999997</v>
    <v>-2.2599999999999998</v>
    <v>-4.424E-3</v>
    <v>USD</v>
    <v>Elevance Health, Inc., formerly Anthem, Inc., is a health company. It is focused on whole health. It supports health at every life stage, offering health plans and clinical, behavioral, pharmacy and complex-care solutions that promote whole health. It identifies the resources needed to support residents, including the people it serves, and ensure those resources meet local needs. It focuses on advancing health equity, such as ensuring people with disabilities and rural residents can find accessible care. Additionally, it also focuses on prioritizing three areas, such as maternal health, behavioral health, and access to evidence-based medical therapy. It also focuses on providing digitally enabled healthcare. It provides a consumer-centered health system. Carelon is its healthcare services brand and Wellpoint is its health plan brand. Its other brands include Anthem Blue Cross and Blue Shield. Through these brands, it focuses on delivering solutions beyond traditional health insurance.</v>
    <v>98200</v>
    <v>New York Stock Exchange</v>
    <v>XNYS</v>
    <v>XNYS</v>
    <v>220 Virginia Avenue, INDIANAPOLIS, IN, 46204 US</v>
    <v>514.1</v>
    <v>Healthcare Providers &amp; Services</v>
    <v>Stock</v>
    <v>44917.737034606253</v>
    <v>208</v>
    <v>508.13</v>
    <v>121462940808</v>
    <v>ELEVANCE HEALTH, INC.</v>
    <v>ELEVANCE HEALTH, INC.</v>
    <v>513.01</v>
    <v>20.043500000000002</v>
    <v>510.84</v>
    <v>508.58</v>
    <v>238827600</v>
    <v>ELV</v>
    <v>ELEVANCE HEALTH, INC. (XNYS:ELV)</v>
    <v>202174</v>
    <v>1153226</v>
    <v>2001</v>
  </rv>
  <rv s="2">
    <v>209</v>
  </rv>
  <rv s="0">
    <v>https://www.bing.com/financeapi/forcetrigger?t=a1qvjc&amp;q=XNYS%3aDE&amp;form=skydnc</v>
    <v>Learn more on Bing</v>
  </rv>
  <rv s="1">
    <v>en-US</v>
    <v>a1qvjc</v>
    <v>268435456</v>
    <v>1</v>
    <v>Powered by Refinitiv</v>
    <v>0</v>
    <v>DEERE &amp; COMPANY (XNYS:DE)</v>
    <v>2</v>
    <v>3</v>
    <v>Finance</v>
    <v>4</v>
    <v>448.3999</v>
    <v>283.81</v>
    <v>1.0835999999999999</v>
    <v>-8.6</v>
    <v>-1.9473000000000001E-2</v>
    <v>USD</v>
    <v>Deere &amp; Company produces intelligent, connected machines and applications, which help the agriculture and construction industries. The Company's production and precision agriculture segment develops and delivers global equipment and technology solutions to unlock customer value for production-scale growers of large grains, small grains, cotton, and sugar. The small agriculture and turf segment develops and delivers global equipment and technology solutions to unlock customer value for dairy and livestock producers, crop producers, and turf and utility customers. The construction and forestry segment develops and delivers a range of machines and technology solutions organized along the earthmoving, forestry, and roadbuilding production systems. The financial services segment primarily finances sales and leases by John Deere dealers of new and used production and precision agriculture, small agriculture and turf, and construction and forestry equipment.</v>
    <v>82200</v>
    <v>New York Stock Exchange</v>
    <v>XNYS</v>
    <v>XNYS</v>
    <v>One John Deere Place, MOLINE, IL, 61265-8098 US</v>
    <v>440.45</v>
    <v>Machinery, Equipment &amp; Components</v>
    <v>Stock</v>
    <v>44917.737082245316</v>
    <v>211</v>
    <v>432.73</v>
    <v>129148680392</v>
    <v>DEERE &amp; COMPANY</v>
    <v>DEERE &amp; COMPANY</v>
    <v>439.75</v>
    <v>18.933700000000002</v>
    <v>441.64</v>
    <v>433.04</v>
    <v>298237300</v>
    <v>DE</v>
    <v>DEERE &amp; COMPANY (XNYS:DE)</v>
    <v>458715</v>
    <v>1705570</v>
    <v>1958</v>
  </rv>
  <rv s="2">
    <v>212</v>
  </rv>
  <rv s="0">
    <v>https://www.bing.com/financeapi/forcetrigger?t=a1u7xm&amp;q=XNYS%3aGS&amp;form=skydnc</v>
    <v>Learn more on Bing</v>
  </rv>
  <rv s="1">
    <v>en-US</v>
    <v>a1u7xm</v>
    <v>268435456</v>
    <v>1</v>
    <v>Powered by Refinitiv</v>
    <v>0</v>
    <v>THE GOLDMAN SACHS GROUP, INC. (XNYS:GS)</v>
    <v>2</v>
    <v>3</v>
    <v>Finance</v>
    <v>4</v>
    <v>412.65989999999999</v>
    <v>277.83999999999997</v>
    <v>1.4084000000000001</v>
    <v>-8.3800000000000008</v>
    <v>-2.3932000000000002E-2</v>
    <v>USD</v>
    <v>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through four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Its Consumer &amp; Wealth Management segment provides a range of wealth advisory and banking services, including financial planning, investment management, deposit taking and lending.</v>
    <v>49100</v>
    <v>New York Stock Exchange</v>
    <v>XNYS</v>
    <v>XNYS</v>
    <v>200 West St, NEW YORK, NY, 10282 US</v>
    <v>348.05</v>
    <v>Investment Banking &amp; Investment Services</v>
    <v>Stock</v>
    <v>44917.73703486094</v>
    <v>214</v>
    <v>341.74</v>
    <v>115738533587</v>
    <v>THE GOLDMAN SACHS GROUP, INC.</v>
    <v>THE GOLDMAN SACHS GROUP, INC.</v>
    <v>347.22</v>
    <v>9.3277000000000001</v>
    <v>350.16</v>
    <v>341.78</v>
    <v>338634600</v>
    <v>GS</v>
    <v>THE GOLDMAN SACHS GROUP, INC. (XNYS:GS)</v>
    <v>444540</v>
    <v>2250308</v>
    <v>1998</v>
  </rv>
  <rv s="2">
    <v>215</v>
  </rv>
  <rv s="0">
    <v>https://www.bing.com/financeapi/forcetrigger?t=a1xyjc&amp;q=XNYS%3aMS&amp;form=skydnc</v>
    <v>Learn more on Bing</v>
  </rv>
  <rv s="1">
    <v>en-US</v>
    <v>a1xyjc</v>
    <v>268435456</v>
    <v>1</v>
    <v>Powered by Refinitiv</v>
    <v>0</v>
    <v>MORGAN STANLEY (XNYS:MS)</v>
    <v>2</v>
    <v>3</v>
    <v>Finance</v>
    <v>4</v>
    <v>109.73</v>
    <v>72.05</v>
    <v>1.3207</v>
    <v>-1.73</v>
    <v>-1.9915000000000002E-2</v>
    <v>USD</v>
    <v>Morgan Stanley is a global financial services company. The Company, through its subsidiaries, provides a range of investment banking, securities, wealth management and investment management services.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 to a diverse group of clients.</v>
    <v>82000</v>
    <v>New York Stock Exchange</v>
    <v>XNYS</v>
    <v>XNYS</v>
    <v>1585 Broadway, NEW YORK, NY, 10036 US</v>
    <v>86.3</v>
    <v>Investment Banking &amp; Investment Services</v>
    <v>Stock</v>
    <v>44917.737105103908</v>
    <v>217</v>
    <v>85.05</v>
    <v>143895880260</v>
    <v>MORGAN STANLEY</v>
    <v>MORGAN STANLEY</v>
    <v>86.16</v>
    <v>12.6099</v>
    <v>86.87</v>
    <v>85.14</v>
    <v>1690109000</v>
    <v>MS</v>
    <v>MORGAN STANLEY (XNYS:MS)</v>
    <v>2040333</v>
    <v>6835854</v>
    <v>1981</v>
  </rv>
  <rv s="2">
    <v>218</v>
  </rv>
  <rv s="0">
    <v>https://www.bing.com/financeapi/forcetrigger?t=a1wzw7&amp;q=XNYS%3aLMT&amp;form=skydnc</v>
    <v>Learn more on Bing</v>
  </rv>
  <rv s="1">
    <v>en-US</v>
    <v>a1wzw7</v>
    <v>268435456</v>
    <v>1</v>
    <v>Powered by Refinitiv</v>
    <v>0</v>
    <v>LOCKHEED MARTIN CORPORATION (XNYS:LMT)</v>
    <v>2</v>
    <v>3</v>
    <v>Finance</v>
    <v>4</v>
    <v>498.95</v>
    <v>341.03</v>
    <v>0.73319999999999996</v>
    <v>-11.69</v>
    <v>-2.3972000000000004E-2</v>
    <v>USD</v>
    <v>Lockheed Martin Corporation is a security and aerospace company. It operates through four segments. Aeronautics segment is engaged in the research, design, development, manufacture, support and upgrade of military aircraft, including combat and air mobility aircraft, unmanned air vehicles and related technologies. Missiles and Fire Control segment provides air and missile defense systems; fire control systems; manned and unmanned ground vehicles, and energy management solutions. Rotary and Mission Systems segment provides design, manufacture, service and support for various military and commercial helicopters, surface ships, sea and land-based missile defense systems, radar systems, sea and air-based mission and combat systems, command and control mission solutions, cyber solutions, and simulation and training solutions. Space segment is engaged in the research and development, design, engineering and production of satellites, space transportation systems, strike and defensive systems.</v>
    <v>114000</v>
    <v>New York Stock Exchange</v>
    <v>XNYS</v>
    <v>XNYS</v>
    <v>6801 ROCKLEDGE DR, BETHESDA, MD, 20817 US</v>
    <v>486.82</v>
    <v>Aerospace &amp; Defense</v>
    <v>Stock</v>
    <v>44917.737034120313</v>
    <v>220</v>
    <v>475.96</v>
    <v>124736741040</v>
    <v>LOCKHEED MARTIN CORPORATION</v>
    <v>LOCKHEED MARTIN CORPORATION</v>
    <v>486.2</v>
    <v>22.391400000000001</v>
    <v>487.65</v>
    <v>475.96</v>
    <v>262074000</v>
    <v>LMT</v>
    <v>LOCKHEED MARTIN CORPORATION (XNYS:LMT)</v>
    <v>448096</v>
    <v>1197717</v>
    <v>1994</v>
  </rv>
  <rv s="2">
    <v>221</v>
  </rv>
  <rv s="0">
    <v>https://www.bing.com/financeapi/forcetrigger?t=a22k9c&amp;q=XNAS%3aSBUX&amp;form=skydnc</v>
    <v>Learn more on Bing</v>
  </rv>
  <rv s="1">
    <v>en-US</v>
    <v>a22k9c</v>
    <v>268435456</v>
    <v>1</v>
    <v>Powered by Refinitiv</v>
    <v>0</v>
    <v>STARBUCKS CORPORATION (XNAS:SBUX)</v>
    <v>2</v>
    <v>3</v>
    <v>Finance</v>
    <v>4</v>
    <v>117.8</v>
    <v>68.39</v>
    <v>0.89400000000000002</v>
    <v>-1.99</v>
    <v>-2.0167999999999998E-2</v>
    <v>USD</v>
    <v>Starbucks Corp is a roaster, marketer, and retailer of specialty coffee with operations in approximately 83 markets. It has over 35,000 Company-operated and licensed stores. It operates through three segments: North America, which includes the United States and Canada; International, which includes China, Japan, Asia Pacific, Europe, Middle East, Africa, Latin America and the Caribbean; and Channel Development. Its North America and International segments include both Company-operated and licensed stores. Channel Development segment includes roasted whole bean and ground coffees, Seattle's Best Coffee, Starbucks and Teavana-branded single-serve products, a variety of ready-to-drink beverages, such as Frappuccino and Starbucks Doubleshot, foodservice products and other branded products sold worldwide outside of its Company-operated and licensed stores. It also sells goods and services under various brands, including Teavana, Seattle's Best Coffee, Ethos, Starbucks Reserve and Princi.</v>
    <v>402000</v>
    <v>Nasdaq Stock Market</v>
    <v>XNAS</v>
    <v>XNAS</v>
    <v>P O Box 34067, SEATTLE, WA, 98124-1067 US</v>
    <v>98.56</v>
    <v>Hotels &amp; Entertainment Services</v>
    <v>Stock</v>
    <v>44917.737069062503</v>
    <v>223</v>
    <v>96.64</v>
    <v>110969304000</v>
    <v>STARBUCKS CORPORATION</v>
    <v>STARBUCKS CORPORATION</v>
    <v>98.45</v>
    <v>34.826300000000003</v>
    <v>98.67</v>
    <v>96.68</v>
    <v>1147800000</v>
    <v>SBUX</v>
    <v>STARBUCKS CORPORATION (XNAS:SBUX)</v>
    <v>1763434</v>
    <v>6622872</v>
    <v>1985</v>
  </rv>
  <rv s="2">
    <v>224</v>
  </rv>
  <rv s="0">
    <v>https://www.bing.com/financeapi/forcetrigger?t=a23d9c&amp;q=XNYS%3aSPGI&amp;form=skydnc</v>
    <v>Learn more on Bing</v>
  </rv>
  <rv s="1">
    <v>en-US</v>
    <v>a23d9c</v>
    <v>268435456</v>
    <v>1</v>
    <v>Powered by Refinitiv</v>
    <v>0</v>
    <v>S&amp;P Global Inc. (XNYS:SPGI)</v>
    <v>2</v>
    <v>3</v>
    <v>Finance</v>
    <v>4</v>
    <v>481.44</v>
    <v>279.32</v>
    <v>1.0638000000000001</v>
    <v>-7.41</v>
    <v>-2.1958999999999999E-2</v>
    <v>USD</v>
    <v>S&amp;P Global Inc. is a provider of credit ratings, benchmarks, analytics and workflow solutions in the global capital, commodity and automotive markets. The Company comprises six operating divisions: S&amp;P Global Market Intelligence (Market Intelligence), S&amp;P Global Ratings (Ratings), S&amp;P Global Commodity Insights (Commodity Insights), S&amp;P Global Mobility (Mobility), S&amp;P Dow Jones Indices (Indices), and S&amp;P Global Engineering Solutions (Engineering Solutions). Its Ratings provides credit ratings, research and analytics to investors and other market participants. Its Market Intelligence consists of three business line: desktop, data management solutions and credit risk solutions. Its Indices is an index provider that maintains a range of indices to meet various investor needs. Its Mobility provides insights, forecasts and advisory services to automotive value chain. Its Commodity Insights is an independent provider of information and benchmark prices for the commodity and energy markets.</v>
    <v>22850</v>
    <v>New York Stock Exchange</v>
    <v>XNYS</v>
    <v>XNYS</v>
    <v>55 Water St, NEW YORK, NY, 10041-0004 US</v>
    <v>334.86340000000001</v>
    <v>Professional &amp; Commercial Services</v>
    <v>Stock</v>
    <v>44917.737096874996</v>
    <v>226</v>
    <v>329.89499999999998</v>
    <v>107527032000</v>
    <v>S&amp;P Global Inc.</v>
    <v>S&amp;P Global Inc.</v>
    <v>334.22</v>
    <v>28.2149</v>
    <v>337.45</v>
    <v>330.04</v>
    <v>325800000</v>
    <v>SPGI</v>
    <v>S&amp;P Global Inc. (XNYS:SPGI)</v>
    <v>369624</v>
    <v>1987634</v>
    <v>1925</v>
  </rv>
  <rv s="2">
    <v>227</v>
  </rv>
  <rv s="0">
    <v>https://www.bing.com/financeapi/forcetrigger?t=a1vmtc&amp;q=XNAS%3aINTU&amp;form=skydnc</v>
    <v>Learn more on Bing</v>
  </rv>
  <rv s="1">
    <v>en-US</v>
    <v>a1vmtc</v>
    <v>268435456</v>
    <v>1</v>
    <v>Powered by Refinitiv</v>
    <v>0</v>
    <v>INTUIT INC. (XNAS:INTU)</v>
    <v>2</v>
    <v>3</v>
    <v>Finance</v>
    <v>4</v>
    <v>658.83500000000004</v>
    <v>339.36</v>
    <v>1.1457999999999999</v>
    <v>-14.765000000000001</v>
    <v>-3.7538000000000002E-2</v>
    <v>USD</v>
    <v>Intuit Inc. is a global technology platform that helps consumers, small businesses, and the self-employed prosper by delivering financial management and compliance products and services. The Company operates through four segments: Small Business &amp; Self-Employed, Consumer, Credit Karma and ProConnect. Small Business &amp; Self-Employed segment serves small businesses and the self-employed around the world, and the accounting professionals who assist and advise them. Its offerings include QuickBooks financial and business management online services and desktop software, payroll solutions, time tracking, merchant payment processing solutions, and financing for small businesses. The Consumer segment serves consumers and includes do-it-yourself and assisted TurboTax income tax preparation products and services. Credit Karma segment serves consumers with a personal finance platform that provides personalized recommendations of credit card, home, auto and personal loans, and insurance products.</v>
    <v>17300</v>
    <v>Nasdaq Stock Market</v>
    <v>XNAS</v>
    <v>XNAS</v>
    <v>2700 Coast Ave, MOUNTAIN VIEW, CA, 94043 US</v>
    <v>387.74</v>
    <v>Financial Technology (Fintech) &amp; Infrastructure</v>
    <v>Stock</v>
    <v>44917.737041492968</v>
    <v>229</v>
    <v>378.12</v>
    <v>106348524051</v>
    <v>INTUIT INC.</v>
    <v>INTUIT INC.</v>
    <v>385.35</v>
    <v>59.921100000000003</v>
    <v>393.33</v>
    <v>378.565</v>
    <v>280925400</v>
    <v>INTU</v>
    <v>INTUIT INC. (XNAS:INTU)</v>
    <v>468673</v>
    <v>1840487</v>
    <v>1993</v>
  </rv>
  <rv s="2">
    <v>230</v>
  </rv>
  <rv s="0">
    <v>https://www.bing.com/financeapi/forcetrigger?t=a1vmf2&amp;q=XNAS%3aINTC&amp;form=skydnc</v>
    <v>Learn more on Bing</v>
  </rv>
  <rv s="1">
    <v>en-US</v>
    <v>a1vmf2</v>
    <v>268435456</v>
    <v>1</v>
    <v>Powered by Refinitiv</v>
    <v>0</v>
    <v>INTEL CORPORATION (XNAS:INTC)</v>
    <v>2</v>
    <v>3</v>
    <v>Finance</v>
    <v>4</v>
    <v>56.28</v>
    <v>24.59</v>
    <v>0.76259999999999994</v>
    <v>-1.4550000000000001</v>
    <v>-5.423E-2</v>
    <v>USD</v>
    <v>Intel Corporation is engaged in designing and manufacturing products and technologies. The Company's segments include Client Computing Group (CCG), Data Center Group (DCG), Internet of Things Group (IOTG), Mobileye, Non-Volatile Memory Solutions Group (NSG) and Programmable Solutions Group (PSG). The CCG segment is focused on long-term operating system, system architecture, hardware, and application integration that enable PC experiences. The DCG segment develops workload-optimized platforms for compute, storage, and network functions. The IOTG segment develops high-performance compute platforms that solve the technology needs for business use cases that scale across vertical industries and embedded markets. The Mobileye segment provides driving assistance and self-driving solutions. The NSG segment provides memory and storage products based on Intel 3D NAND technology. The PSG segment offers programmable semiconductors, primarily FPGAs, structured ASICs, and related products.</v>
    <v>121100</v>
    <v>Nasdaq Stock Market</v>
    <v>XNAS</v>
    <v>XNAS</v>
    <v>RNB-4-151, 2200 MISSION COLLEGE BLVD, SANTA CLARA, CA, 95054 US</v>
    <v>26.452000000000002</v>
    <v>Semiconductors &amp; Semiconductor Equipment</v>
    <v>Stock</v>
    <v>44917.737140057812</v>
    <v>232</v>
    <v>25.35</v>
    <v>104722625000</v>
    <v>INTEL CORPORATION</v>
    <v>INTEL CORPORATION</v>
    <v>26.43</v>
    <v>8.2814999999999994</v>
    <v>26.83</v>
    <v>25.375</v>
    <v>4127000000</v>
    <v>INTC</v>
    <v>INTEL CORPORATION (XNAS:INTC)</v>
    <v>21232605</v>
    <v>35412557</v>
    <v>1989</v>
  </rv>
  <rv s="2">
    <v>233</v>
  </rv>
  <rv s="0">
    <v>https://www.bing.com/financeapi/forcetrigger?t=a1o4ec&amp;q=XNYS%3aBA&amp;form=skydnc</v>
    <v>Learn more on Bing</v>
  </rv>
  <rv s="1">
    <v>en-US</v>
    <v>a1o4ec</v>
    <v>268435456</v>
    <v>1</v>
    <v>Powered by Refinitiv</v>
    <v>0</v>
    <v>THE BOEING COMPANY (XNYS:BA)</v>
    <v>2</v>
    <v>3</v>
    <v>Finance</v>
    <v>4</v>
    <v>229.67</v>
    <v>113.02</v>
    <v>1.4378</v>
    <v>-9.2628000000000004</v>
    <v>-4.7259000000000002E-2</v>
    <v>USD</v>
    <v>The Boeing Company is an aerospace company. The Company's segments include Commercial Airplanes (BCA), Defense, Space &amp; Security (BDS), Global Services (BGS) and Boeing Capital (BCC). Its BCA segment develops, produces and markets commercial jet aircraft and provides fleet support services, principally to the commercial airline industry. Its commercial jet aircraft in production includes the 737 narrow-body model and the 747, 767, 777 and 787 wide-body models. Its BDS segment is engaged in the research, development, production and modification of manned and unmanned military aircraft and weapons systems for strike, surveillance and mobility. BDS Segment consists of four divisions, including Vertical Lift, Mobility, Surveillance &amp; Bombers, Air Dominance, and Space, Intelligence &amp; Weapon Systems. It offers KC-46, SAOC, E-7, VC-25B, P-8, Bombers, AWACS/AEW&amp;C, and 777X components. BCC segment facilitates, arranges, structures and provides selective financing solutions for its customers.</v>
    <v>142000</v>
    <v>New York Stock Exchange</v>
    <v>XNYS</v>
    <v>XNYS</v>
    <v>929 Long Bridge Drive, ARLINGTON, VA, 22202 US</v>
    <v>194.16079999999999</v>
    <v>Aerospace &amp; Defense</v>
    <v>Stock</v>
    <v>44917.7371154625</v>
    <v>235</v>
    <v>186.61</v>
    <v>111292234015</v>
    <v>THE BOEING COMPANY</v>
    <v>THE BOEING COMPANY</v>
    <v>193.77</v>
    <v>0</v>
    <v>196</v>
    <v>186.7372</v>
    <v>595983200</v>
    <v>BA</v>
    <v>THE BOEING COMPANY (XNYS:BA)</v>
    <v>3499071</v>
    <v>6355803</v>
    <v>1934</v>
  </rv>
  <rv s="2">
    <v>236</v>
  </rv>
  <rv s="0">
    <v>https://www.bing.com/financeapi/forcetrigger?t=a1ndww&amp;q=XNAS%3aAMD&amp;form=skydnc</v>
    <v>Learn more on Bing</v>
  </rv>
  <rv s="1">
    <v>en-US</v>
    <v>a1ndww</v>
    <v>268435456</v>
    <v>1</v>
    <v>Powered by Refinitiv</v>
    <v>0</v>
    <v>ADVANCED MICRO DEVICES, INC. (XNAS:AMD)</v>
    <v>2</v>
    <v>3</v>
    <v>Finance</v>
    <v>4</v>
    <v>156.72999999999999</v>
    <v>54.57</v>
    <v>2.0232999999999999</v>
    <v>-5.2050000000000001</v>
    <v>-7.6906000000000002E-2</v>
    <v>USD</v>
    <v>Advanced Micro Devices, Inc. is a global semiconductor company. Its segments include Computing and Graphics, and Enterprise, Embedded and Semi-Custom. The Computing and Graphics segment primarily includes desktop and notebook microprocessors, accelerated processing units that integrate microprocessors and graphics, chipsets, discrete graphics processing units (GPUs), data center and professional GPUs, and development services. It may also sell or license portions of its intellectual property (IP) portfolio. The Enterprise, Embedded and Semi-Custom segment primarily includes server and embedded processors, semi-custom system-on-chip (SoC) products, development services, and technology for game consoles, and it may also sell or license portions of its IP portfolio. Its microprocessor customers consist primarily of original equipment manufacturers (OEMs), large public cloud service providers, original design manufacturers (ODMs), system integrators, and independent distributors.</v>
    <v>15500</v>
    <v>Nasdaq Stock Market</v>
    <v>XNAS</v>
    <v>XNAS</v>
    <v>2485 Augustine Drive, SANTA CLARA, CA, 95054 US</v>
    <v>66.309899999999999</v>
    <v>Semiconductors &amp; Semiconductor Equipment</v>
    <v>Stock</v>
    <v>44917.737078888284</v>
    <v>238</v>
    <v>62.36</v>
    <v>109124300000</v>
    <v>ADVANCED MICRO DEVICES, INC.</v>
    <v>ADVANCED MICRO DEVICES, INC.</v>
    <v>66</v>
    <v>40.566499999999998</v>
    <v>67.680000000000007</v>
    <v>62.475000000000001</v>
    <v>1612356000</v>
    <v>AMD</v>
    <v>ADVANCED MICRO DEVICES, INC. (XNAS:AMD)</v>
    <v>40021305</v>
    <v>60464820</v>
    <v>1969</v>
  </rv>
  <rv s="2">
    <v>239</v>
  </rv>
  <rv s="0">
    <v>https://www.bing.com/financeapi/forcetrigger?t=a1om4c&amp;q=XNYS%3aBLK&amp;form=skydnc</v>
    <v>Learn more on Bing</v>
  </rv>
  <rv s="1">
    <v>en-US</v>
    <v>a1om4c</v>
    <v>268435456</v>
    <v>1</v>
    <v>Powered by Refinitiv</v>
    <v>0</v>
    <v>BLACKROCK, INC. (XNYS:BLK)</v>
    <v>2</v>
    <v>3</v>
    <v>Finance</v>
    <v>4</v>
    <v>929.05499999999995</v>
    <v>503.12360000000001</v>
    <v>1.2919</v>
    <v>-24.004999999999999</v>
    <v>-3.3669999999999999E-2</v>
    <v>USD</v>
    <v>BlackRock, Inc. is an investment management company. The Company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The Company's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The Company also offers technology services, including the investment and risk management technology platform, Aladdin, Aladdin Wealth, eFront, and Cachematrix, as well as advisory services and solutions.</v>
    <v>19900</v>
    <v>New York Stock Exchange</v>
    <v>XNYS</v>
    <v>XNYS</v>
    <v>55 E 52nd St, NEW YORK, NY, 10055-0002 US</v>
    <v>707.36500000000001</v>
    <v>Investment Banking &amp; Investment Services</v>
    <v>Stock</v>
    <v>44917.737077152342</v>
    <v>241</v>
    <v>688.93499999999995</v>
    <v>107080400000</v>
    <v>BLACKROCK, INC.</v>
    <v>BLACKROCK, INC.</v>
    <v>702.64</v>
    <v>19.641400000000001</v>
    <v>712.94</v>
    <v>688.93499999999995</v>
    <v>150195600</v>
    <v>BLK</v>
    <v>BLACKROCK, INC. (XNYS:BLK)</v>
    <v>249549</v>
    <v>830326</v>
    <v>2006</v>
  </rv>
  <rv s="2">
    <v>242</v>
  </rv>
  <rv s="0">
    <v>https://www.bing.com/financeapi/forcetrigger?t=a1tvoc&amp;q=XNAS%3aGILD&amp;form=skydnc</v>
    <v>Learn more on Bing</v>
  </rv>
  <rv s="1">
    <v>en-US</v>
    <v>a1tvoc</v>
    <v>268435456</v>
    <v>1</v>
    <v>Powered by Refinitiv</v>
    <v>0</v>
    <v>GILEAD SCIENCES, INC. (XNAS:GILD)</v>
    <v>2</v>
    <v>3</v>
    <v>Finance</v>
    <v>4</v>
    <v>89.74</v>
    <v>57.164999999999999</v>
    <v>0.47139999999999999</v>
    <v>-0.35</v>
    <v>-4.1050000000000001E-3</v>
    <v>USD</v>
    <v>Gilead Sciences, Inc. is a biopharmaceutical company. The Company is focused on the discovery, development and commercialization of medicine to prevent and treat diseases, including human immunodeficiency virus (HIV), viral hepatitis and cancer. The Company’s products for HIV/AIDS patients include Biktarvy, Genvoya, Descovy, Odefsey, Truvada, Complera/Eviplera, Stribild, and Atripla. Its COVID-19 product is Veklury. The products for liver diseases include Epclusa, Harvoni, Vosevi, Vemlidy, and Viread. The products under hematology/oncology/cell therapy include Yescarta, Tecartus, Trodelvy, and Zydelig. The other products include Letairis (ambrisentan), Ranexa (ranolazine), Cayston, Jyseleca, and AmBisome (amphotericin B liposome for injection). The Company also sells and distributes generic versions of Epclusa and Harvoni in the United States. The Company is also focused on restoring immune balance with agonists targeting immune inhibitory receptors.</v>
    <v>14400</v>
    <v>Nasdaq Stock Market</v>
    <v>XNAS</v>
    <v>XNAS</v>
    <v>333 LAKESIDE DR, FOSTER CITY, CA, 94404-1147 US</v>
    <v>85.468500000000006</v>
    <v>Pharmaceuticals</v>
    <v>Stock</v>
    <v>44917.737103923435</v>
    <v>244</v>
    <v>84.37</v>
    <v>106510400480</v>
    <v>GILEAD SCIENCES, INC.</v>
    <v>GILEAD SCIENCES, INC.</v>
    <v>85.14</v>
    <v>32.245399999999997</v>
    <v>85.27</v>
    <v>84.92</v>
    <v>1254244000</v>
    <v>GILD</v>
    <v>GILEAD SCIENCES, INC. (XNAS:GILD)</v>
    <v>1889050</v>
    <v>8291728</v>
    <v>1987</v>
  </rv>
  <rv s="2">
    <v>245</v>
  </rv>
  <rv s="0">
    <v>https://www.bing.com/financeapi/forcetrigger?t=a1zy3m&amp;q=XNYS%3aPLD&amp;form=skydnc</v>
    <v>Learn more on Bing</v>
  </rv>
  <rv s="1">
    <v>en-US</v>
    <v>a1zy3m</v>
    <v>268435456</v>
    <v>1</v>
    <v>Powered by Refinitiv</v>
    <v>0</v>
    <v>PROLOGIS, INC. (XNYS:PLD)</v>
    <v>2</v>
    <v>3</v>
    <v>Finance</v>
    <v>4</v>
    <v>174.54</v>
    <v>98.03</v>
    <v>0.96860000000000002</v>
    <v>-2.78</v>
    <v>-2.4399000000000001E-2</v>
    <v>USD</v>
    <v>Prologis, Inc. is engaged in logistics real estate with a focus on high-barrier, high-growth markets. The Company has investments in, on a wholly owned basis or through co-investment ventures, properties and development projects expected to total approximately 1.0 billion square feet in 19 countries. It leases logistics facilities to a diverse base of approximately 5,800 customers principally across two categories: business-to-business and retail/online fulfillment. It operates and manage its business on an owned and managed (O&amp;M) basis and therefore evaluate the operating performance of the properties for its O&amp;M portfolio, which includes its consolidated properties and properties owned by its unconsolidated co-investment ventures. The Company operates through two segments. Real Estate Operations segment represents the ownership and development of logistics properties. Strategic Capital segment represents the management of unconsolidated co-investment ventures and other ventures.</v>
    <v>2053</v>
    <v>New York Stock Exchange</v>
    <v>XNYS</v>
    <v>XNYS</v>
    <v>PIER 1 BAY 1, SAN FRANCISCO, CA, 94111 US</v>
    <v>113.34</v>
    <v>Residential &amp; Commercial REIT</v>
    <v>Stock</v>
    <v>44917.737033414065</v>
    <v>247</v>
    <v>111.11</v>
    <v>102609417176</v>
    <v>PROLOGIS, INC.</v>
    <v>PROLOGIS, INC.</v>
    <v>112.89</v>
    <v>21.104900000000001</v>
    <v>113.94</v>
    <v>111.16</v>
    <v>923078600</v>
    <v>PLD</v>
    <v>PROLOGIS, INC. (XNYS:PLD)</v>
    <v>852174</v>
    <v>3757534</v>
    <v>1997</v>
  </rv>
  <rv s="2">
    <v>248</v>
  </rv>
  <rv s="0">
    <v>https://www.bing.com/financeapi/forcetrigger?t=a1xg3m&amp;q=XNYS%3aMDT&amp;form=skydnc</v>
    <v>Learn more on Bing</v>
  </rv>
  <rv s="1">
    <v>en-US</v>
    <v>a1xg3m</v>
    <v>268435456</v>
    <v>1</v>
    <v>Powered by Refinitiv</v>
    <v>0</v>
    <v>MEDTRONIC PUBLIC LIMITED COMPANY (XNYS:MDT)</v>
    <v>2</v>
    <v>3</v>
    <v>Finance</v>
    <v>4</v>
    <v>114.31</v>
    <v>75.765000000000001</v>
    <v>0.73629999999999995</v>
    <v>-0.92</v>
    <v>-1.1923E-2</v>
    <v>USD</v>
    <v>Medtronic plc is a global healthcare technology company. The Company develops, manufactures, and markets its medical devices and technologies to hospitals, physicians, clinicians, and patients. Its operating segments include Cardiovascular, Medical Surgical, Neuroscience and Diabetes. Cardiovascular products include pacemakers, insertable cardiac monitors, and cardiac resynchronization therapy devices. Medical Surgical products include patient care from diagnosis to recovery, with a focus on diseases of the gastrointestinal tract, lungs, pelvic region, kidneys, obesity, and preventable complications. Neuroscience products include various spinal implants, bone graft substitutes, biologic products, image-guided surgery and intra-operative imaging systems. Diabetes products include insulin pumps, continuous glucose monitoring (CGM) systems, consumables, and smart insulin pen systems. It also provides PROPEL and SINUVA. The Company is focused on cardiac ablation portfolio.</v>
    <v>95000</v>
    <v>New York Stock Exchange</v>
    <v>XNYS</v>
    <v>XNYS</v>
    <v>20 On Hatch, Hatch Street Lower, DUBLIN, DUBLIN IE</v>
    <v>77.180000000000007</v>
    <v>Healthcare Equipment &amp; Supplies</v>
    <v>Stock</v>
    <v>44917.737102546096</v>
    <v>250</v>
    <v>76.13</v>
    <v>101412923200</v>
    <v>MEDTRONIC PUBLIC LIMITED COMPANY</v>
    <v>MEDTRONIC PUBLIC LIMITED COMPANY</v>
    <v>76.819999999999993</v>
    <v>23.959599999999998</v>
    <v>77.16</v>
    <v>76.239999999999995</v>
    <v>1330180000</v>
    <v>MDT</v>
    <v>MEDTRONIC PUBLIC LIMITED COMPANY (XNYS:MDT)</v>
    <v>2937296</v>
    <v>8899613</v>
    <v>2014</v>
  </rv>
  <rv s="2">
    <v>251</v>
  </rv>
  <rv s="0">
    <v>https://www.bing.com/financeapi/forcetrigger?t=a1mw4c&amp;q=XNAS%3aADP&amp;form=skydnc</v>
    <v>Learn more on Bing</v>
  </rv>
  <rv s="1">
    <v>en-US</v>
    <v>a1mw4c</v>
    <v>268435456</v>
    <v>1</v>
    <v>Powered by Refinitiv</v>
    <v>0</v>
    <v>AUTOMATIC DATA PROCESSING, INC. (XNAS:ADP)</v>
    <v>2</v>
    <v>3</v>
    <v>Finance</v>
    <v>4</v>
    <v>274.92</v>
    <v>192.26</v>
    <v>0.85370000000000001</v>
    <v>-9.57</v>
    <v>-3.8738999999999996E-2</v>
    <v>USD</v>
    <v>Automatic Data Processing, Inc. (ADP) is a global technology company engaged in providing cloud-based human capital management (HCM) solutions that unite HR, payroll, talent, time, tax and benefits administration. Its segments include Employer Services and Professional Employer Organization (PEO). Its Employer Services segment serves clients ranging from single-employee small businesses to large enterprises with tens of thousands of employees around the world, offering a range of technology-based HCM solutions, including its cloud-based platforms, and human resource outsourcing (HRO) solutions (other than PEO) solutions. Its offerings include Payroll Services, Benefits Administration, Talent Management, HR Management, Workforce Management, Compliance Services, Insurance Services and Retirement Services. Its PEO business, called ADP TotalSource, provides clients with employment administration outsourcing solutions. It serves over 990,000 clients in 140 countries and territories.</v>
    <v>60000</v>
    <v>Nasdaq Stock Market</v>
    <v>XNAS</v>
    <v>XNAS</v>
    <v>One Adp Boulvard, ROSELAND, NJ, 07068-1728 US</v>
    <v>244.64</v>
    <v>Software &amp; IT Services</v>
    <v>Stock</v>
    <v>44917.737115786716</v>
    <v>253</v>
    <v>236.86</v>
    <v>102479100000</v>
    <v>AUTOMATIC DATA PROCESSING, INC.</v>
    <v>AUTOMATIC DATA PROCESSING, INC.</v>
    <v>244.48</v>
    <v>34.222299999999997</v>
    <v>247.04</v>
    <v>237.47</v>
    <v>414827800</v>
    <v>ADP</v>
    <v>AUTOMATIC DATA PROCESSING, INC. (XNAS:ADP)</v>
    <v>1097891</v>
    <v>1666291</v>
    <v>1961</v>
  </rv>
  <rv s="2">
    <v>254</v>
  </rv>
  <rv s="0">
    <v>https://www.bing.com/financeapi/forcetrigger?t=a1pp5r&amp;q=XNYS%3aCI&amp;form=skydnc</v>
    <v>Learn more on Bing</v>
  </rv>
  <rv s="1">
    <v>en-US</v>
    <v>a1pp5r</v>
    <v>268435456</v>
    <v>1</v>
    <v>Powered by Refinitiv</v>
    <v>0</v>
    <v>CIGNA CORPORATION (XNYS:CI)</v>
    <v>2</v>
    <v>3</v>
    <v>Finance</v>
    <v>4</v>
    <v>340.11</v>
    <v>213.16</v>
    <v>0.7016</v>
    <v>-1.32</v>
    <v>-3.9620000000000002E-3</v>
    <v>USD</v>
    <v>Cigna Corporation is a health services company that offers medical, dental insurance and related products and services. The Company's segments include Evernorth and Cigna Healthcare. Evernorth segment includes a range of coordinated and point solution health services and capabilities, as well as those from partners across the healthcare system, in pharmacy solutions, benefits management solutions, care delivery and care management solutions and intelligence solutions. Cigna Healthcare consists of its U.S. Commercial, U.S. Government and International Health operating segments, which provide a range of medical and coordinated solutions to clients and customers to support whole-person health needs. The U.S. Commercial products and services include medical, pharmacy, behavioral health, dental, vision, health advocacy programs and other products and services for insured and self-insured customers. International Health solutions include health care coverage in its international markets.</v>
    <v>73700</v>
    <v>New York Stock Exchange</v>
    <v>XNYS</v>
    <v>XNYS</v>
    <v>900 Cottage Grove Road, BLOOMFIELD, CT, 06002-2920 US</v>
    <v>334.55</v>
    <v>Healthcare Providers &amp; Services</v>
    <v>Stock</v>
    <v>44917.737080196093</v>
    <v>256</v>
    <v>331.73500000000001</v>
    <v>101456429759</v>
    <v>CIGNA CORPORATION</v>
    <v>CIGNA CORPORATION</v>
    <v>333.33</v>
    <v>15.9163</v>
    <v>333.16</v>
    <v>331.84</v>
    <v>305739000</v>
    <v>CI</v>
    <v>CIGNA CORPORATION (XNYS:CI)</v>
    <v>323841</v>
    <v>1745775</v>
    <v>2018</v>
  </rv>
  <rv s="2">
    <v>257</v>
  </rv>
  <rv s="0">
    <v>https://www.bing.com/financeapi/forcetrigger?t=a1ngur&amp;q=XNYS%3aAMT&amp;form=skydnc</v>
    <v>Learn more on Bing</v>
  </rv>
  <rv s="1">
    <v>en-US</v>
    <v>a1ngur</v>
    <v>268435456</v>
    <v>1</v>
    <v>Powered by Refinitiv</v>
    <v>0</v>
    <v>AMERICAN TOWER CORPORATION (XNYS:AMT)</v>
    <v>2</v>
    <v>3</v>
    <v>Finance</v>
    <v>4</v>
    <v>294.39999999999998</v>
    <v>178.17</v>
    <v>0.54559999999999997</v>
    <v>-3.45</v>
    <v>-1.6382000000000001E-2</v>
    <v>USD</v>
    <v>American Tower Corporation is a holding company. The Company operates as a real estate investment trust (REIT), which owns, operates and develops multitenant communications real estate. Its segments include U.S. &amp; Canada property, Asia-Pacific property, Africa property, Europe property and Latin America property. Its U.S. &amp; Canada property segment includes operations in Canada and the United States. Its Asia-Pacific property segment includes operations in Australia, Bangladesh, India and the Philippines. The Africa property segment includes operations in Burkina Faso, Ghana, Kenya, Niger, Nigeria, South Africa and Uganda. The Europe property segment includes operations in France, Germany, Spain and Poland. The Latin America property segment includes operations in Argentina, Brazil, Chile, Colombia, Costa Rica, Mexico, Paraguay and Peru. It also offers data center property operations in the United States. The Company offers tower-related services in the United States.</v>
    <v>6378</v>
    <v>New York Stock Exchange</v>
    <v>XNYS</v>
    <v>XNYS</v>
    <v>116 Huntington Ave, BOSTON, MA, 02116-5749 US</v>
    <v>211.1</v>
    <v>Residential &amp; Commercial REIT</v>
    <v>Stock</v>
    <v>44917.736904258592</v>
    <v>259</v>
    <v>207.0104</v>
    <v>96450200040</v>
    <v>AMERICAN TOWER CORPORATION</v>
    <v>AMERICAN TOWER CORPORATION</v>
    <v>208.98</v>
    <v>33.426200000000001</v>
    <v>210.6</v>
    <v>207.15</v>
    <v>465605600</v>
    <v>AMT</v>
    <v>AMERICAN TOWER CORPORATION (XNYS:AMT)</v>
    <v>666613</v>
    <v>1857050</v>
    <v>1996</v>
  </rv>
  <rv s="2">
    <v>260</v>
  </rv>
  <rv s="0">
    <v>https://www.bing.com/financeapi/forcetrigger?t=a1vt77&amp;q=XNAS%3aISRG&amp;form=skydnc</v>
    <v>Learn more on Bing</v>
  </rv>
  <rv s="1">
    <v>en-US</v>
    <v>a1vt77</v>
    <v>268435456</v>
    <v>1</v>
    <v>Powered by Refinitiv</v>
    <v>0</v>
    <v>INTUITIVE SURGICAL, INC. (XNAS:ISRG)</v>
    <v>2</v>
    <v>3</v>
    <v>Finance</v>
    <v>4</v>
    <v>369.21</v>
    <v>180.07</v>
    <v>1.3640000000000001</v>
    <v>-5.66</v>
    <v>-2.1264999999999999E-2</v>
    <v>USD</v>
    <v>Intuitive Surgical, Inc. develops, manufactures, and markets the da Vinci surgical system and the Ion endoluminal system. The Company's products and related services enable physicians and healthcare providers to access minimally invasive care. The systems consist of a surgeon console or consoles, a patient-side cart, a vision system, and proprietary instruments and accessories. Its da Vinci products consist of five categories, such as da Vinci surgical systems, da Vinci instruments and accessories, da Vinci Stapling, da Vinci Energy, and da Vinci Vision, including Firefly Fluorescence imaging systems and da Vinci Endoscopes. It also provides a suite of systems, learning, and services offerings. Its Ion endoluminal system extends its commercial offerings beyond surgery into diagnostic procedures, enabling minimally invasive biopsies in the lung. Its services include readiness support, maintenance support, OR consulting, customer hospital analytics, and market consulting optimization.</v>
    <v>9793</v>
    <v>Nasdaq Stock Market</v>
    <v>XNAS</v>
    <v>XNAS</v>
    <v>1020 Kifer Road, SUNNYVALE, CA, 94086 US</v>
    <v>264.18</v>
    <v>Healthcare Equipment &amp; Supplies</v>
    <v>Stock</v>
    <v>44917.737081330466</v>
    <v>262</v>
    <v>260.5</v>
    <v>92056688300</v>
    <v>INTUITIVE SURGICAL, INC.</v>
    <v>INTUITIVE SURGICAL, INC.</v>
    <v>263.48</v>
    <v>70.485200000000006</v>
    <v>266.16000000000003</v>
    <v>260.5</v>
    <v>353384600</v>
    <v>ISRG</v>
    <v>INTUITIVE SURGICAL, INC. (XNAS:ISRG)</v>
    <v>670969</v>
    <v>1980655</v>
    <v>1995</v>
  </rv>
  <rv s="2">
    <v>263</v>
  </rv>
  <rv s="0">
    <v>https://www.bing.com/financeapi/forcetrigger?t=a249r7&amp;q=XNYS%3aTJX&amp;form=skydnc</v>
    <v>Learn more on Bing</v>
  </rv>
  <rv s="1">
    <v>en-US</v>
    <v>a249r7</v>
    <v>268435456</v>
    <v>1</v>
    <v>Powered by Refinitiv</v>
    <v>0</v>
    <v>THE TJX COMPANIES, INC. (XNYS:TJX)</v>
    <v>2</v>
    <v>3</v>
    <v>Finance</v>
    <v>4</v>
    <v>81.165199999999999</v>
    <v>53.69</v>
    <v>0.90149999999999997</v>
    <v>-1.28</v>
    <v>-1.6234999999999999E-2</v>
    <v>USD</v>
    <v>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2,432 stores. The HomeGoods chain is an off-price retailer of home fashions in the United States with approximately 850 stores. The TJX Canada segment operates the Winners, HomeSense and Marshalls chains in Canada. Winners is the off-price apparel and home fashions retailer in Canada. HomeSense offers home fashions off-price concept in Canada. The TJX International segment operates the T.K. Maxx and HomeSense chains in Europe. Through its stores and its e-commerce site for the U.K., tkmaxx.com, T.K. Maxx offers a merchandise mix similar to T.J. Maxx.</v>
    <v>340000</v>
    <v>New York Stock Exchange</v>
    <v>XNYS</v>
    <v>XNYS</v>
    <v>770 Cochituate Rd, FRAMINGHAM, MA, 01701 US</v>
    <v>78.150000000000006</v>
    <v>Diversified Retail</v>
    <v>Stock</v>
    <v>44917.737120717189</v>
    <v>265</v>
    <v>77.459999999999994</v>
    <v>89620890240</v>
    <v>THE TJX COMPANIES, INC.</v>
    <v>THE TJX COMPANIES, INC.</v>
    <v>77.83</v>
    <v>27.4892</v>
    <v>78.84</v>
    <v>77.56</v>
    <v>1155504000</v>
    <v>TJX</v>
    <v>THE TJX COMPANIES, INC. (XNYS:TJX)</v>
    <v>1401530</v>
    <v>6350977</v>
    <v>1962</v>
  </rv>
  <rv s="2">
    <v>266</v>
  </rv>
  <rv s="0">
    <v>https://www.bing.com/financeapi/forcetrigger?t=a1xfoc&amp;q=XNAS%3aMDLZ&amp;form=skydnc</v>
    <v>Learn more on Bing</v>
  </rv>
  <rv s="1">
    <v>en-US</v>
    <v>a1xfoc</v>
    <v>268435456</v>
    <v>1</v>
    <v>Powered by Refinitiv</v>
    <v>0</v>
    <v>Mondelez International, Inc. (XNAS:MDLZ)</v>
    <v>2</v>
    <v>3</v>
    <v>Finance</v>
    <v>4</v>
    <v>69.47</v>
    <v>54.72</v>
    <v>0.68100000000000005</v>
    <v>-0.63500000000000001</v>
    <v>-9.4929999999999997E-3</v>
    <v>USD</v>
    <v>Mondelez International, Inc. is a snack company. The Company makes and sells primarily snacks, including biscuits, such as cookies, crackers and salted snacks, chocolate, gum and candy as well as various cheese and grocery and powdered beverage products. Its segments include Latin America, AMEA, Europe and North America. Its portfolio includes snack brands, such as Cadbury, Milka and Toblerone chocolate; Oreo, belVita and LU biscuits; Halls candy; Trident gum and Tang powdered beverages. The Company sells its products to supermarket chains, wholesalers, supercenters, club stores, mass merchandisers, distributors, convenience stores, gasoline stations, drug stores, value stores and other retail food outlets. It has operations in approximately 80 countries and sells its products in over 150 countries. The Company's subsidiaries include Mondelez Argentina S.A., Mondelez Oesterreich Production GmbH and Mondelez Australia Holdings Pty. Ltd., among others.</v>
    <v>79000</v>
    <v>Nasdaq Stock Market</v>
    <v>XNAS</v>
    <v>XNAS</v>
    <v>905 West Fulton Market, Suite 200, CHICAGO, IL, 60607 US</v>
    <v>66.83</v>
    <v>Food &amp; Tobacco</v>
    <v>Stock</v>
    <v>44917.737108575784</v>
    <v>268</v>
    <v>66.245000000000005</v>
    <v>91346220000</v>
    <v>Mondelez International, Inc.</v>
    <v>Mondelez International, Inc.</v>
    <v>66.69</v>
    <v>29.754799999999999</v>
    <v>66.89</v>
    <v>66.254999999999995</v>
    <v>1365619000</v>
    <v>MDLZ</v>
    <v>Mondelez International, Inc. (XNAS:MDLZ)</v>
    <v>1298758</v>
    <v>5904328</v>
    <v>2005</v>
  </rv>
  <rv s="2">
    <v>269</v>
  </rv>
  <rv s="0">
    <v>https://www.bing.com/financeapi/forcetrigger?t=a1nda2&amp;q=XNAS%3aAMAT&amp;form=skydnc</v>
    <v>Learn more on Bing</v>
  </rv>
  <rv s="1">
    <v>en-US</v>
    <v>a1nda2</v>
    <v>268435456</v>
    <v>1</v>
    <v>Powered by Refinitiv</v>
    <v>0</v>
    <v>APPLIED MATERIALS, INC. (XNAS:AMAT)</v>
    <v>2</v>
    <v>3</v>
    <v>Finance</v>
    <v>4</v>
    <v>167.06</v>
    <v>71.12</v>
    <v>1.5363</v>
    <v>-9.7149999999999999</v>
    <v>-9.1736999999999999E-2</v>
    <v>USD</v>
    <v>Applied Materials, Inc. provides manufacturing equipment, services and software to the semiconductor, display, and related industries. The Company operates through three segments: Semiconductor Systems, Applied Global Services, and Display and Adjacent Markets. Its Semiconductor Systems segment primarily consists of capital equipment used to fabricate semiconductor chips. Its Applied Global Services segment provides integrated solutions to optimize equipment and fab performance and productivity, including spares, upgrades, services, certain remanufactured old equipment and factory automation software for semiconductor, display and solar products. Its Display and Adjacent Markets segment includes products for manufacturing liquid crystal and organic light-emitting diode (OLED) displays, and other display technologies for televisions, monitors, laptops, personal computers, electronic tablets, smart phones, and other consumer-oriented devices and equipment upgrades.</v>
    <v>33000</v>
    <v>Nasdaq Stock Market</v>
    <v>XNAS</v>
    <v>XNAS</v>
    <v>3050 Bowers Ave, SANTA CLARA, CA, 95054-3299 US</v>
    <v>102.61</v>
    <v>Semiconductors &amp; Semiconductor Equipment</v>
    <v>Stock</v>
    <v>44917.7371259375</v>
    <v>271</v>
    <v>95.97</v>
    <v>81193577044</v>
    <v>APPLIED MATERIALS, INC.</v>
    <v>APPLIED MATERIALS, INC.</v>
    <v>102.11</v>
    <v>14.2386</v>
    <v>105.9</v>
    <v>96.185000000000002</v>
    <v>844139700</v>
    <v>AMAT</v>
    <v>APPLIED MATERIALS, INC. (XNAS:AMAT)</v>
    <v>4826229</v>
    <v>6904653</v>
    <v>1987</v>
  </rv>
  <rv s="2">
    <v>272</v>
  </rv>
  <rv s="0">
    <v>https://www.bing.com/financeapi/forcetrigger?t=a1p8tc&amp;q=XNYS%3aCB&amp;form=skydnc</v>
    <v>Learn more on Bing</v>
  </rv>
  <rv s="1">
    <v>en-US</v>
    <v>a1p8tc</v>
    <v>268435456</v>
    <v>1</v>
    <v>Powered by Refinitiv</v>
    <v>0</v>
    <v>Chubb Ltd (XNYS:CB)</v>
    <v>2</v>
    <v>3</v>
    <v>Finance</v>
    <v>4</v>
    <v>222</v>
    <v>173.78</v>
    <v>0.69810000000000005</v>
    <v>-2.4700000000000002</v>
    <v>-1.1291000000000001E-2</v>
    <v>USD</v>
    <v>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v>
    <v>31000</v>
    <v>New York Stock Exchange</v>
    <v>XNYS</v>
    <v>XNYS</v>
    <v>Baerengasse 32, ZUERICH, ZUERICH, 8001 CH</v>
    <v>219.32</v>
    <v>Insurance</v>
    <v>Stock</v>
    <v>44917.737103876563</v>
    <v>274</v>
    <v>216.28</v>
    <v>89771229387</v>
    <v>Chubb Ltd</v>
    <v>Chubb Ltd</v>
    <v>216.73</v>
    <v>15.2662</v>
    <v>218.76</v>
    <v>216.29</v>
    <v>415050300</v>
    <v>CB</v>
    <v>Chubb Ltd (XNYS:CB)</v>
    <v>309031</v>
    <v>1674417</v>
    <v>2008</v>
  </rv>
  <rv s="2">
    <v>275</v>
  </rv>
  <rv s="0">
    <v>https://www.bing.com/financeapi/forcetrigger?t=a1tr1h&amp;q=XNYS%3aGE&amp;form=skydnc</v>
    <v>Learn more on Bing</v>
  </rv>
  <rv s="1">
    <v>en-US</v>
    <v>a1tr1h</v>
    <v>268435456</v>
    <v>1</v>
    <v>Powered by Refinitiv</v>
    <v>0</v>
    <v>GENERAL ELECTRIC COMPANY (XNYS:GE)</v>
    <v>2</v>
    <v>3</v>
    <v>Finance</v>
    <v>4</v>
    <v>103.73</v>
    <v>59.93</v>
    <v>1.2386999999999999</v>
    <v>-2.3199999999999998</v>
    <v>-2.7959000000000001E-2</v>
    <v>USD</v>
    <v>General Electric Company is an industrial company. The Company operates through its industrial segments, Power, Renewable Energy, Aviation and Healthcare, and its financial services segment, Capital. Its segments include Power, which serves power generation, industrial, government and other customers with products and services related to energy production; Renewable Energy, which provides solutions for renewable energy; Aviation, which includes commercial and military aircraft engines, and integrated digital components, electric power and mechanical aircraft systems; Healthcare, which provides healthcare technologies in medical imaging, digital solutions, patient monitoring and diagnostics, and drug discovery, and Capital, which is a financial services division. Its products include commercial and military aircraft engines and systems; healthcare systems and pharmaceutical diagnostics; wind and other renewable energy generation equipment; nuclear and other power generation equipment.</v>
    <v>168000</v>
    <v>New York Stock Exchange</v>
    <v>XNYS</v>
    <v>XNYS</v>
    <v>5 Necco Street, BOSTON, MA, 02210 US</v>
    <v>82.71</v>
    <v>Consumer Goods Conglomerates</v>
    <v>Stock</v>
    <v>44917.737050844531</v>
    <v>277</v>
    <v>80.610100000000003</v>
    <v>88134600880</v>
    <v>GENERAL ELECTRIC COMPANY</v>
    <v>GENERAL ELECTRIC COMPANY</v>
    <v>82.13</v>
    <v>0</v>
    <v>82.98</v>
    <v>80.66</v>
    <v>1092668000</v>
    <v>GE</v>
    <v>GENERAL ELECTRIC COMPANY (XNYS:GE)</v>
    <v>2425469</v>
    <v>5494948</v>
    <v>1892</v>
  </rv>
  <rv s="2">
    <v>278</v>
  </rv>
  <rv s="0">
    <v>https://www.bing.com/financeapi/forcetrigger?t=a1o2lh&amp;q=XNYS%3aAXP&amp;form=skydnc</v>
    <v>Learn more on Bing</v>
  </rv>
  <rv s="1">
    <v>en-US</v>
    <v>a1o2lh</v>
    <v>268435456</v>
    <v>1</v>
    <v>Powered by Refinitiv</v>
    <v>0</v>
    <v>AMERICAN EXPRESS COMPANY (XNYS:AXP)</v>
    <v>2</v>
    <v>3</v>
    <v>Finance</v>
    <v>4</v>
    <v>199.55</v>
    <v>130.65</v>
    <v>1.1443000000000001</v>
    <v>-3.65</v>
    <v>-2.4813000000000002E-2</v>
    <v>USD</v>
    <v>American Express Company is a globally integrated payments company. The Company provides its customers with access to products, insights, and experiences that builds business. It operates under four segments: U.S. Consumer Services (USCS), Commercial Services (CS), International Card Services (ICS), and Global Merchant and Network Services (GMNS). USCS offers travel and lifestyle services as well as banking and non-card financing products. CS offers payment and expense management, banking and non-card financing products. CS also issues corporate cards and provides services to select global corporate clients. ICS also provides services to international customers, including travel and lifestyle services, and manages certain international joint ventures and its loyalty coalition businesses. GMNS provides multi-channel marketing programs and capabilities, services and data analytics. It provides credit and charge cards to consumers, small businesses, mid-sized companies and corporations.</v>
    <v>64000</v>
    <v>New York Stock Exchange</v>
    <v>XNYS</v>
    <v>XNYS</v>
    <v>50TH FLOOR, 200 VESEY STREET, NEW YORK, NY, 10285 US</v>
    <v>146.69999999999999</v>
    <v>Banking Services</v>
    <v>Stock</v>
    <v>44917.73704960625</v>
    <v>280</v>
    <v>143.41</v>
    <v>107190530814</v>
    <v>AMERICAN EXPRESS COMPANY</v>
    <v>AMERICAN EXPRESS COMPANY</v>
    <v>145.59</v>
    <v>14.779400000000001</v>
    <v>147.1</v>
    <v>143.44999999999999</v>
    <v>747232700</v>
    <v>AXP</v>
    <v>AMERICAN EXPRESS COMPANY (XNYS:AXP)</v>
    <v>809748</v>
    <v>2584570</v>
    <v>1965</v>
  </rv>
  <rv s="2">
    <v>281</v>
  </rv>
  <rv s="0">
    <v>https://www.bing.com/financeapi/forcetrigger?t=a1p3ww&amp;q=XNYS%3aC&amp;form=skydnc</v>
    <v>Learn more on Bing</v>
  </rv>
  <rv s="1">
    <v>en-US</v>
    <v>a1p3ww</v>
    <v>268435456</v>
    <v>1</v>
    <v>Powered by Refinitiv</v>
    <v>0</v>
    <v>CITIGROUP INC. (XNYS:C)</v>
    <v>2</v>
    <v>3</v>
    <v>Finance</v>
    <v>4</v>
    <v>69.11</v>
    <v>40.005000000000003</v>
    <v>1.5682</v>
    <v>-1.7033</v>
    <v>-3.8012000000000004E-2</v>
    <v>USD</v>
    <v>Citigroup Inc. is a diversified financial services holding company. The Company provides a range of financial products and services, including consumer banking and credit, corporate and investment banking, securities brokerage, trade and securities services and wealth management. Its operating business segments include Institutional Clients Group (ICG), Personal Banking and Wealth Management (PBWM), Legacy Franchises and Corporate/Other. ICG segment consists of services, markets, and banking that provides corporate, institutional, and public sector clients with a range of wholesale banking products and services. The Company’s PBWM segment consists of United States (US) personal banking and global wealth management, providing traditional banking services and credit cards to retail and small business customers in the U.S. Its Legacy Franchises segment includes Asia consumer banking, Mexico consumer banking/Mexico small business and middle-market banking (SBMM) and legacy holdings assets.</v>
    <v>238000</v>
    <v>New York Stock Exchange</v>
    <v>XNYS</v>
    <v>XNYS</v>
    <v>388 Greenwich Street, 399 Park Avenue, NEW YORK, NY, 10013 US</v>
    <v>44.5</v>
    <v>Investment Banking &amp; Investment Services</v>
    <v>Stock</v>
    <v>44917.737104039064</v>
    <v>283</v>
    <v>43.08</v>
    <v>83491341215</v>
    <v>CITIGROUP INC.</v>
    <v>CITIGROUP INC.</v>
    <v>44.5</v>
    <v>6.0406000000000004</v>
    <v>44.81</v>
    <v>43.106699999999996</v>
    <v>1936853000</v>
    <v>C</v>
    <v>CITIGROUP INC. (XNYS:C)</v>
    <v>7155556</v>
    <v>17567074</v>
    <v>1988</v>
  </rv>
  <rv s="2">
    <v>284</v>
  </rv>
  <rv s="0">
    <v>https://www.bing.com/financeapi/forcetrigger?t=a1mvjc&amp;q=XNAS%3aADI&amp;form=skydnc</v>
    <v>Learn more on Bing</v>
  </rv>
  <rv s="1">
    <v>en-US</v>
    <v>a1mvjc</v>
    <v>268435456</v>
    <v>1</v>
    <v>Powered by Refinitiv</v>
    <v>0</v>
    <v>ANALOG DEVICES, INC. (XNAS:ADI)</v>
    <v>2</v>
    <v>3</v>
    <v>Finance</v>
    <v>4</v>
    <v>180.01</v>
    <v>133.47999999999999</v>
    <v>1.1536999999999999</v>
    <v>-6.28</v>
    <v>-3.7512999999999998E-2</v>
    <v>USD</v>
    <v>Analog Devices, Inc. is a semiconductor company. The Company designs, manufactures, tests and markets a portfolio of solutions, including integrated circuits (ICs), software and subsystems that leverage analog, mixed-signal and digital signal processing technologies. Its products include data converters, amplifiers, power management, radio frequency (RF) ICs, edge processors and other sensors. The Company's ICs are designed to address a range of real-world signal processing applications. Its IC product portfolio includes both general-purpose products used by a range of customers and applications, as well as application-specific products designed for specific target markets. The Company's product offerings include more than 75,000 stock-keeping units (SKUs) that can be aggregated into various general categories, such as analog and mixed signal, power management and reference, amplifiers/RF and microwave, sensors and actuators, and digital signal processing and system products (DSPs).</v>
    <v>24450</v>
    <v>Nasdaq Stock Market</v>
    <v>XNAS</v>
    <v>XNAS</v>
    <v>One Analog Way, WILMINGTON, MA, 01887 US</v>
    <v>164.83</v>
    <v>Semiconductors &amp; Semiconductor Equipment</v>
    <v>Stock</v>
    <v>44917.737107430468</v>
    <v>286</v>
    <v>161.06</v>
    <v>82062848367</v>
    <v>ANALOG DEVICES, INC.</v>
    <v>ANALOG DEVICES, INC.</v>
    <v>164.83</v>
    <v>31.762</v>
    <v>167.41</v>
    <v>161.13</v>
    <v>509295900</v>
    <v>ADI</v>
    <v>ANALOG DEVICES, INC. (XNAS:ADI)</v>
    <v>680216</v>
    <v>3568780</v>
    <v>1965</v>
  </rv>
  <rv s="2">
    <v>287</v>
  </rv>
  <rv s="0">
    <v>https://www.bing.com/financeapi/forcetrigger?t=a24c52&amp;q=XNAS%3aTMUS&amp;form=skydnc</v>
    <v>Learn more on Bing</v>
  </rv>
  <rv s="1">
    <v>en-US</v>
    <v>a24c52</v>
    <v>268435456</v>
    <v>1</v>
    <v>Powered by Refinitiv</v>
    <v>0</v>
    <v>T-MOBILE US, INC. (XNAS:TMUS)</v>
    <v>2</v>
    <v>3</v>
    <v>Finance</v>
    <v>4</v>
    <v>154.37860000000001</v>
    <v>101.51</v>
    <v>0.5474</v>
    <v>-2.89</v>
    <v>-2.0428000000000002E-2</v>
    <v>USD</v>
    <v>T-Mobile US, Inc. is a provider of mobile communications services, including voice, messaging and data, under its flagship brands, T-Mobile and Metro by T-Mobile, in the United States, Puerto Rico and the United States Virgin Islands. The Company provides mobile communications services primarily using its fourth generation (4G) long term evolution network and its fifth generation (5G) technology network. It also offers a selection of wireless devices, including handsets, tablets and other mobile communication devices, and accessories for sale, as well as financing through equipment installment plans and leasing through JUMP! On Demand. The Company’s primary service plan offers signature Magenta plan, which includes, among other benefits, unlimited talk, text and smartphone data on its network, 5G access at no extra cost. Customers can also choose additional features, such as unlimited premium data with its Ultra Capacity 5G service, for an additional cost on its Magenta Max plan.</v>
    <v>75000</v>
    <v>Nasdaq Stock Market</v>
    <v>XNAS</v>
    <v>XNAS</v>
    <v>12920 SE 38th St, BELLEVUE, WA, 98006 US</v>
    <v>140.79</v>
    <v>Telecommunications Services</v>
    <v>Stock</v>
    <v>44917.737118020312</v>
    <v>289</v>
    <v>138.04</v>
    <v>172414861320</v>
    <v>T-MOBILE US, INC.</v>
    <v>T-MOBILE US, INC.</v>
    <v>140.57</v>
    <v>115.83839999999999</v>
    <v>141.47</v>
    <v>138.58000000000001</v>
    <v>1244154000</v>
    <v>TMUS</v>
    <v>T-MOBILE US, INC. (XNAS:TMUS)</v>
    <v>1648538</v>
    <v>5366714</v>
    <v>2004</v>
  </rv>
  <rv s="2">
    <v>290</v>
  </rv>
  <rv s="0">
    <v>https://www.bing.com/financeapi/forcetrigger?t=a1xr1h&amp;q=XNYS%3aMMC&amp;form=skydnc</v>
    <v>Learn more on Bing</v>
  </rv>
  <rv s="1">
    <v>en-US</v>
    <v>a1xr1h</v>
    <v>268435456</v>
    <v>1</v>
    <v>Powered by Refinitiv</v>
    <v>0</v>
    <v>MARSH &amp; MCLENNAN COMPANIES, INC. (XNYS:MMC)</v>
    <v>2</v>
    <v>3</v>
    <v>Finance</v>
    <v>4</v>
    <v>183.14</v>
    <v>142.80000000000001</v>
    <v>0.89380000000000004</v>
    <v>-2.95</v>
    <v>-1.7602E-2</v>
    <v>USD</v>
    <v>Marsh &amp; McLennan Companies, Inc. is a professional services firm offering clients advice and solutions in risk, strategy and people. The Company is the parent company of various risk advisors and specialty consultants, including Marsh, the insurance broker; Guy Carpenter, the risk and reinsurance specialist; Mercer, the provider of advice and digital solutions that help organizations meet the health, wealth and career needs, and Oliver Wyman Group, the management and economic consultancy. It conducts business through two segments: Risk and Insurance Services, which includes risk management activities, as well as insurance and reinsurance broking and services, and Consulting includes health, wealth and career services and products, and specialized management, economic and brand consulting services. The Company conducts business in the Risk and Insurance Services segment through Marsh and Guy Carpenter. It conducts business in the Consulting segment through Mercer and Oliver Wyman Group.</v>
    <v>83000</v>
    <v>New York Stock Exchange</v>
    <v>XNYS</v>
    <v>XNYS</v>
    <v>1166 Avenue of the Americas, NEW YORK, NY, 10036 US</v>
    <v>167.33</v>
    <v>Insurance</v>
    <v>Stock</v>
    <v>44917.736896793751</v>
    <v>292</v>
    <v>164.64</v>
    <v>81663004080</v>
    <v>MARSH &amp; MCLENNAN COMPANIES, INC.</v>
    <v>MARSH &amp; MCLENNAN COMPANIES, INC.</v>
    <v>167.05</v>
    <v>25.141100000000002</v>
    <v>167.59</v>
    <v>164.64</v>
    <v>496009500</v>
    <v>MMC</v>
    <v>MARSH &amp; MCLENNAN COMPANIES, INC. (XNYS:MMC)</v>
    <v>406118</v>
    <v>1783270</v>
    <v>1969</v>
  </rv>
  <rv s="2">
    <v>293</v>
  </rv>
  <rv s="0">
    <v>https://www.bing.com/financeapi/forcetrigger?t=a1xtpr&amp;q=XNYS%3aMO&amp;form=skydnc</v>
    <v>Learn more on Bing</v>
  </rv>
  <rv s="1">
    <v>en-US</v>
    <v>a1xtpr</v>
    <v>268435456</v>
    <v>1</v>
    <v>Powered by Refinitiv</v>
    <v>0</v>
    <v>Altria Group, Inc. (XNYS:MO)</v>
    <v>2</v>
    <v>3</v>
    <v>Finance</v>
    <v>4</v>
    <v>57.05</v>
    <v>40.35</v>
    <v>0.67069999999999996</v>
    <v>-0.14000000000000001</v>
    <v>-3.0709999999999999E-3</v>
    <v>USD</v>
    <v>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v>
    <v>6000</v>
    <v>New York Stock Exchange</v>
    <v>XNYS</v>
    <v>XNYS</v>
    <v>6601 W Broad St, RICHMOND, VA, 23230 US</v>
    <v>45.74</v>
    <v>Food &amp; Tobacco</v>
    <v>Stock</v>
    <v>44917.737065068752</v>
    <v>295</v>
    <v>45.35</v>
    <v>81454262850</v>
    <v>Altria Group, Inc.</v>
    <v>Altria Group, Inc.</v>
    <v>45.59</v>
    <v>17.7119</v>
    <v>45.59</v>
    <v>45.45</v>
    <v>1792173000</v>
    <v>MO</v>
    <v>Altria Group, Inc. (XNYS:MO)</v>
    <v>2737665</v>
    <v>8010103</v>
    <v>2009</v>
  </rv>
  <rv s="2">
    <v>296</v>
  </rv>
  <rv s="0">
    <v>https://www.bing.com/financeapi/forcetrigger?t=a23vdm&amp;q=XNYS%3aSYK&amp;form=skydnc</v>
    <v>Learn more on Bing</v>
  </rv>
  <rv s="1">
    <v>en-US</v>
    <v>a23vdm</v>
    <v>268435456</v>
    <v>1</v>
    <v>Powered by Refinitiv</v>
    <v>0</v>
    <v>STRYKER CORPORATION (XNYS:SYK)</v>
    <v>2</v>
    <v>3</v>
    <v>Finance</v>
    <v>4</v>
    <v>280.43</v>
    <v>188.84</v>
    <v>0.96099999999999997</v>
    <v>-2.25</v>
    <v>-9.3150000000000004E-3</v>
    <v>USD</v>
    <v>Stryker Corporation (Stryker) is a medical technology company. The Company offers products and services in Medical and Surgical, Neurotechnology, Orthopaedics, and Spine that help improve patient and hospital outcomes. Its products are sold in approximately 75 countries through Company-owned subsidiaries and branches, as well as, third-party dealers and distributors. Its products include surgical equipment and surgical navigation systems; endoscopic and communications systems; patient handling, emergency medical equipment and intensive care disposable products; neurosurgical and neurovascular devices; implants used in joint replacement and trauma surgeries; Mako Robotic-Arm Assisted technology; spinal devices; as well as other products used in a range of medical specialties. Its business segments include MedSurg and Neurotechnology and Orthopaedics and Spine. Its subsidiaries include Alcott Indemnity Company, Arrinex, Inc., Berchtold Corporation, and BioMimetic Therapeutics, LLC.</v>
    <v>46000</v>
    <v>New York Stock Exchange</v>
    <v>XNYS</v>
    <v>XNYS</v>
    <v>2825 Airview Blvd, KALAMAZOO, MI, 49002 US</v>
    <v>240.74</v>
    <v>Healthcare Equipment &amp; Supplies</v>
    <v>Stock</v>
    <v>44917.73707407344</v>
    <v>298</v>
    <v>237.77</v>
    <v>90547336000</v>
    <v>STRYKER CORPORATION</v>
    <v>STRYKER CORPORATION</v>
    <v>240.63</v>
    <v>37.569000000000003</v>
    <v>241.54</v>
    <v>239.29</v>
    <v>378400000</v>
    <v>SYK</v>
    <v>STRYKER CORPORATION (XNYS:SYK)</v>
    <v>340309</v>
    <v>1353939</v>
    <v>1946</v>
  </rv>
  <rv s="2">
    <v>299</v>
  </rv>
  <rv s="0">
    <v>https://www.bing.com/financeapi/forcetrigger?t=a21icw&amp;q=XNAS%3aPYPL&amp;form=skydnc</v>
    <v>Learn more on Bing</v>
  </rv>
  <rv s="1">
    <v>en-US</v>
    <v>a21icw</v>
    <v>268435456</v>
    <v>1</v>
    <v>Powered by Refinitiv</v>
    <v>0</v>
    <v>PAYPAL HOLDINGS, INC. (XNAS:PYPL)</v>
    <v>2</v>
    <v>3</v>
    <v>Finance</v>
    <v>4</v>
    <v>196.09979999999999</v>
    <v>66.81</v>
    <v>1.3174999999999999</v>
    <v>-2.38</v>
    <v>-3.4388000000000002E-2</v>
    <v>USD</v>
    <v>PayPal Holdings, Inc. is a technology platform that enables digital payments and commerce experiences on behalf of merchants and consumers across the world. It operates a global, two-sided network at scale that connects merchants and consumers with 426 million active accounts across more than 200 markets. Its brands include PayPal, Braintree, Venmo, Xoom, Zettle, Hyperwallet, Honey, Happy Returns by PayPal, Chargehound, Paidy and Simility. The Company helps merchants and consumers connect, transact, and complete payments, whether they are online or in person. It enables consumers to exchange funds with merchants using a range of funding sources, which may include a bank account, a PayPal or Venmo account balance, PayPal and Venmo branded credit products, a credit card, a debit card, certain cryptocurrencies, or other stored value products, such as gift cards, and eligible credit card rewards. It also offers consumers person-to-person (P2P) payment solutions.</v>
    <v>30900</v>
    <v>Nasdaq Stock Market</v>
    <v>XNAS</v>
    <v>XNAS</v>
    <v>2211 N 1st St, SAN JOSE, CA, 95131 US</v>
    <v>68.790000000000006</v>
    <v>Software &amp; IT Services</v>
    <v>Stock</v>
    <v>44917.73705263828</v>
    <v>301</v>
    <v>66.81</v>
    <v>76188071240</v>
    <v>PAYPAL HOLDINGS, INC.</v>
    <v>PAYPAL HOLDINGS, INC.</v>
    <v>68.62</v>
    <v>35.195599999999999</v>
    <v>69.209999999999994</v>
    <v>66.83</v>
    <v>1140028000</v>
    <v>PYPL</v>
    <v>PAYPAL HOLDINGS, INC. (XNAS:PYPL)</v>
    <v>5125978</v>
    <v>15642032</v>
    <v>2015</v>
  </rv>
  <rv s="2">
    <v>302</v>
  </rv>
  <rv s="0">
    <v>https://www.bing.com/financeapi/forcetrigger?t=a1yoa2&amp;q=XNYS%3aNOW&amp;form=skydnc</v>
    <v>Learn more on Bing</v>
  </rv>
  <rv s="1">
    <v>en-US</v>
    <v>a1yoa2</v>
    <v>268435456</v>
    <v>1</v>
    <v>Powered by Refinitiv</v>
    <v>0</v>
    <v>SERVICENOW, INC. (XNYS:NOW)</v>
    <v>2</v>
    <v>3</v>
    <v>Finance</v>
    <v>4</v>
    <v>667.64</v>
    <v>337</v>
    <v>0.98019999999999996</v>
    <v>-14.745699999999999</v>
    <v>-3.7624999999999999E-2</v>
    <v>USD</v>
    <v>ServiceNow, Inc. is a digital workflow company. The Company helps global enterprises across industries, universities and governments to digitize their workflows. Its technology platform, Now Platform, enables it to connect systems, silos, departments and processes with digital workflows. It categorizes the workflows it provides into four primary areas, such as information technology (IT), employee, customer, and creator. Its IT workflows give IT departments the ability to plan, build, operate, and service across the entire IT lifecycle. Its employee workflows help customers simplify how their employees get the services they need, creating a familiar, consumer-like way to get work done from wherever an employee may be at home, in the workplace or in the field. Its customer workflows help organizations reimagine the customer experience and increase customer loyalty. Its creator workflows enable its customers to create, test, and deploy their own applications on the Now Platform.</v>
    <v>16881</v>
    <v>New York Stock Exchange</v>
    <v>XNYS</v>
    <v>XNYS</v>
    <v>2225 Lawson Ln, SANTA CLARA, CA, 95054-3311 US</v>
    <v>386.72</v>
    <v>Software &amp; IT Services</v>
    <v>Stock</v>
    <v>44917.737034976562</v>
    <v>304</v>
    <v>374.4</v>
    <v>76187188600</v>
    <v>SERVICENOW, INC.</v>
    <v>SERVICENOW, INC.</v>
    <v>385.74</v>
    <v>396.13679999999999</v>
    <v>391.91</v>
    <v>377.16430000000003</v>
    <v>202000000</v>
    <v>NOW</v>
    <v>SERVICENOW, INC. (XNYS:NOW)</v>
    <v>500356</v>
    <v>1302879</v>
    <v>2012</v>
  </rv>
  <rv s="2">
    <v>305</v>
  </rv>
  <rv s="0">
    <v>https://www.bing.com/financeapi/forcetrigger?t=a21uim&amp;q=XNAS%3aREGN&amp;form=skydnc</v>
    <v>Learn more on Bing</v>
  </rv>
  <rv s="1">
    <v>en-US</v>
    <v>a21uim</v>
    <v>268435456</v>
    <v>1</v>
    <v>Powered by Refinitiv</v>
    <v>0</v>
    <v>REGENERON PHARMACEUTICALS, INC. (XNAS:REGN)</v>
    <v>2</v>
    <v>3</v>
    <v>Finance</v>
    <v>4</v>
    <v>779</v>
    <v>538.01</v>
    <v>0.21440000000000001</v>
    <v>-6.53</v>
    <v>-8.8699999999999994E-3</v>
    <v>USD</v>
    <v>Regeneron Pharmaceuticals, Inc. is an integrated biotechnology company that discovers, invents, develops, manufactures, and commercializes medicines for serious diseases. Its commercialized medicines and product candidates in development are designed to help patients with eye diseases, allergic and inflammatory diseases, cancer, cardiovascular and metabolic diseases, pain, hematologic conditions, infectious diseases, and rare diseases. Its marketed products include EYLEA (aflibercept) Injection, Dupixent (dupilumab) Injection, Libtayo (cemiplimab) Injection, Praluent (alirocumab) Injection, REGEN-COV, Kevzara (sarilumab) Solution for Subcutaneous Injection, Evkeeza (evinacumab) Injection, Inmazeb (atoltivimab, maftivimab, and odesivimab-ebgn) Injection, ARCALYST (rilonacept) Injection for Subcutaneous Use and ZALTRAP (ziv-aflibercept) Injection for Intravenous Infusion. It also provides Expresse service assurance and CloudCheck WiFi experience management solutions.</v>
    <v>10368</v>
    <v>Nasdaq Stock Market</v>
    <v>XNAS</v>
    <v>XNAS</v>
    <v>777 Old Saw Mill River Road, TARRYTOWN, NY, 10591 US</v>
    <v>736.495</v>
    <v>Biotechnology &amp; Medical Research</v>
    <v>Stock</v>
    <v>44917.737101238279</v>
    <v>307</v>
    <v>728.7</v>
    <v>80172520000</v>
    <v>REGENERON PHARMACEUTICALS, INC.</v>
    <v>REGENERON PHARMACEUTICALS, INC.</v>
    <v>736.08</v>
    <v>15.5299</v>
    <v>736.19</v>
    <v>729.66</v>
    <v>108901900</v>
    <v>REGN</v>
    <v>REGENERON PHARMACEUTICALS, INC. (XNAS:REGN)</v>
    <v>213172</v>
    <v>634175</v>
    <v>1988</v>
  </rv>
  <rv s="2">
    <v>308</v>
  </rv>
  <rv s="0">
    <v>https://www.bing.com/financeapi/forcetrigger?t=a1rdzr&amp;q=XNYS%3aDUK&amp;form=skydnc</v>
    <v>Learn more on Bing</v>
  </rv>
  <rv s="1">
    <v>en-US</v>
    <v>a1rdzr</v>
    <v>268435456</v>
    <v>1</v>
    <v>Powered by Refinitiv</v>
    <v>0</v>
    <v>DUKE ENERGY CORPORATION (XNYS:DUK)</v>
    <v>2</v>
    <v>3</v>
    <v>Finance</v>
    <v>4</v>
    <v>116.33</v>
    <v>83.76</v>
    <v>0.39950000000000002</v>
    <v>-1.3</v>
    <v>-1.2755000000000001E-2</v>
    <v>USD</v>
    <v>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the Company's natural gas local distribution companies in Ohio and Kentucky, and Duke Energy's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v>
    <v>27605</v>
    <v>New York Stock Exchange</v>
    <v>XNYS</v>
    <v>XNYS</v>
    <v>422 S Church St, CHARLOTTE, NC, 28242 US</v>
    <v>101.81</v>
    <v>Electrical Utilities &amp; IPPs</v>
    <v>Stock</v>
    <v>44917.737130497655</v>
    <v>310</v>
    <v>100.59950000000001</v>
    <v>77483708874</v>
    <v>DUKE ENERGY CORPORATION</v>
    <v>DUKE ENERGY CORPORATION</v>
    <v>101.75</v>
    <v>20.595099999999999</v>
    <v>101.92</v>
    <v>100.62</v>
    <v>770062700</v>
    <v>DUK</v>
    <v>DUKE ENERGY CORPORATION (XNYS:DUK)</v>
    <v>815189</v>
    <v>3307885</v>
    <v>2005</v>
  </rv>
  <rv s="2">
    <v>311</v>
  </rv>
  <rv s="0">
    <v>https://www.bing.com/financeapi/forcetrigger?t=a1yngh&amp;q=XNYS%3aNOC&amp;form=skydnc</v>
    <v>Learn more on Bing</v>
  </rv>
  <rv s="1">
    <v>en-US</v>
    <v>a1yngh</v>
    <v>268435456</v>
    <v>1</v>
    <v>Powered by Refinitiv</v>
    <v>0</v>
    <v>NORTHROP GRUMMAN CORPORATION (XNYS:NOC)</v>
    <v>2</v>
    <v>3</v>
    <v>Finance</v>
    <v>4</v>
    <v>556.27</v>
    <v>364.62</v>
    <v>0.60350000000000004</v>
    <v>-8.5350000000000001</v>
    <v>-1.5841000000000001E-2</v>
    <v>USD</v>
    <v>Northrop Grumman Corporation is a global aerospace and defense company. The Company operates through four segments: Aeronautics Systems, Defense Systems, Mission Systems and Space Systems. Its Aeronautics Systems segment is engaged in the design, development, production, integration and production of autonomous and manned aircraft systems used for battle management, strike and intelligence, surveillance and reconnaissance (ISR). Its Defense Systems segment is engaged in designing, development, production, integration, sustainment and modernization of weapon and mission systems for military and civilian agency customers. Its Mission Systems segment is engaged in providing airborne multifunction sensors; maritime/land systems and sensors; navigation, targeting and survivability, and networked information solutions. Its Space Systems segment is engaged in the design, development, integration, production and operation of space, missile defense, launch and strategic missile systems.</v>
    <v>88000</v>
    <v>New York Stock Exchange</v>
    <v>XNYS</v>
    <v>XNYS</v>
    <v>C/O NORTHROP GRUMMAN CORP, 2980 FAIRVIEW PARK DRIVE, FALLS CHURCH, VA, 22042 US</v>
    <v>542.1</v>
    <v>Aerospace &amp; Defense</v>
    <v>Stock</v>
    <v>44917.737111017967</v>
    <v>313</v>
    <v>529.54999999999995</v>
    <v>81612713611</v>
    <v>NORTHROP GRUMMAN CORPORATION</v>
    <v>NORTHROP GRUMMAN CORPORATION</v>
    <v>539.69000000000005</v>
    <v>15.3133</v>
    <v>538.79</v>
    <v>530.255</v>
    <v>153912200</v>
    <v>NOC</v>
    <v>NORTHROP GRUMMAN CORPORATION (XNYS:NOC)</v>
    <v>183034</v>
    <v>675502</v>
    <v>2010</v>
  </rv>
  <rv s="2">
    <v>314</v>
  </rv>
  <rv s="0">
    <v>https://www.bing.com/financeapi/forcetrigger?t=a23a5r&amp;q=XNYS%3aSO&amp;form=skydnc</v>
    <v>Learn more on Bing</v>
  </rv>
  <rv s="1">
    <v>en-US</v>
    <v>a23a5r</v>
    <v>268435456</v>
    <v>1</v>
    <v>Powered by Refinitiv</v>
    <v>0</v>
    <v>THE SOUTHERN COMPANY (XNYS:SO)</v>
    <v>2</v>
    <v>3</v>
    <v>Finance</v>
    <v>4</v>
    <v>80.569999999999993</v>
    <v>60.71</v>
    <v>0.4884</v>
    <v>-0.76</v>
    <v>-1.0744999999999999E-2</v>
    <v>USD</v>
    <v>The Southern Company is a holding company that owns all of the outstanding common stock of three traditional electric operating companies, Southern Power Company, and Southern Company Gas. The traditional electric operating companies, such as Alabama Power, Georgia Power, and Mississippi Power are each operating public utility companies providing electric service to retail customers in three Southeastern states in addition to wholesale customers in the Southeast. The Southern Power Company develops, constructs, acquires, owns, and manages power generation assets, including renewable energy projects, and sells electricity at market-based rates in the wholesale market. The Southern Company Gas is an energy services holding company whose primary business is the distribution of natural gas in four states, such as Illinois, Georgia, Virginia, and Tennessee through the natural gas distribution utilities. The Southern Company Gas is also involved in several other businesses.</v>
    <v>27300</v>
    <v>New York Stock Exchange</v>
    <v>XNYS</v>
    <v>XNYS</v>
    <v>30 Ivan Allen Jr Blvd NW, ATLANTA, GA, 30308 US</v>
    <v>70.84</v>
    <v>Electrical Utilities &amp; IPPs</v>
    <v>Stock</v>
    <v>44917.737105810156</v>
    <v>316</v>
    <v>69.95</v>
    <v>76174449810</v>
    <v>THE SOUTHERN COMPANY</v>
    <v>THE SOUTHERN COMPANY</v>
    <v>70.7</v>
    <v>22.4617</v>
    <v>70.73</v>
    <v>69.97</v>
    <v>1088673000</v>
    <v>SO</v>
    <v>THE SOUTHERN COMPANY (XNYS:SO)</v>
    <v>1336436</v>
    <v>5358797</v>
    <v>1945</v>
  </rv>
  <rv s="2">
    <v>317</v>
  </rv>
  <rv s="0">
    <v>https://www.bing.com/financeapi/forcetrigger?t=az6g8m&amp;q=XNAS%3aBKNG&amp;form=skydnc</v>
    <v>Learn more on Bing</v>
  </rv>
  <rv s="1">
    <v>en-US</v>
    <v>az6g8m</v>
    <v>268435456</v>
    <v>1</v>
    <v>Powered by Refinitiv</v>
    <v>0</v>
    <v>BOOKING HOLDINGS INC. (XNAS:BKNG)</v>
    <v>2</v>
    <v>3</v>
    <v>Finance</v>
    <v>4</v>
    <v>2715.66</v>
    <v>1616.85</v>
    <v>1.2785</v>
    <v>-58.53</v>
    <v>-2.9697000000000001E-2</v>
    <v>USD</v>
    <v>Booking Holdings Inc. is a provider of travel and restaurant online reservation and related services. The Company offers its services through six consumer-facing brands: Booking.com, priceline.com, agoda.com, Rentalcars.com, KAYAK and OpenTable, Inc. (OpenTable). Through the Company's brands, consumers can: book a range of accommodations, including hotels, motels, resorts, homes, apartments, bed and breakfasts, hostels and other properties; make a car rental reservation or arrange for an airport taxi; make a dinner reservation; book a flight, cruise, vacation package, tour or activity. Consumers can also use its meta-search services to easily compare travel reservation information, such as airline ticket, hotel reservation and rental car reservation information, from various online travel platforms at once. Booking.com offers accommodation reservation services for approximately 2,373,000 properties in over 220 countries and territories, and in over 40 languages.</v>
    <v>20300</v>
    <v>Nasdaq Stock Market</v>
    <v>XNAS</v>
    <v>XNAS</v>
    <v>800 CONNECTICUT AVE, NORWALK, CT, 06854-1631 US</v>
    <v>1947.7</v>
    <v>Hotels &amp; Entertainment Services</v>
    <v>Stock</v>
    <v>44917.737097128906</v>
    <v>319</v>
    <v>1910.5</v>
    <v>74179665754</v>
    <v>BOOKING HOLDINGS INC.</v>
    <v>BOOKING HOLDINGS INC.</v>
    <v>1947.7</v>
    <v>32.361899999999999</v>
    <v>1970.9</v>
    <v>1912.37</v>
    <v>38789390</v>
    <v>BKNG</v>
    <v>BOOKING HOLDINGS INC. (XNAS:BKNG)</v>
    <v>95194</v>
    <v>334033</v>
    <v>1998</v>
  </rv>
  <rv s="2">
    <v>320</v>
  </rv>
  <rv s="0">
    <v>https://www.bing.com/financeapi/forcetrigger?t=a1s24c&amp;q=XNYS%3aEOG&amp;form=skydnc</v>
    <v>Learn more on Bing</v>
  </rv>
  <rv s="1">
    <v>en-US</v>
    <v>a1s24c</v>
    <v>268435456</v>
    <v>1</v>
    <v>Powered by Refinitiv</v>
    <v>0</v>
    <v>EOG RESOURCES, INC. (XNYS:EOG)</v>
    <v>2</v>
    <v>3</v>
    <v>Finance</v>
    <v>4</v>
    <v>149.1044</v>
    <v>81.0334</v>
    <v>1.5294000000000001</v>
    <v>-4.6849999999999996</v>
    <v>-3.6035999999999999E-2</v>
    <v>USD</v>
    <v>EOG Resources, Inc. is an independent (non-integrated) crude oil and natural gas company. The Company is engaged in exploration, development, producing and marketing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The Company has operations offshore Trinidad, in the China Sichuan Basin, Oman and in Canada.</v>
    <v>2800</v>
    <v>New York Stock Exchange</v>
    <v>XNYS</v>
    <v>XNYS</v>
    <v>1111 Bagby, Sky Lobby 2, HOUSTON, TX, 77002 US</v>
    <v>130.38</v>
    <v>Oil &amp; Gas</v>
    <v>Stock</v>
    <v>44917.737098668753</v>
    <v>322</v>
    <v>125.02500000000001</v>
    <v>73614589087</v>
    <v>EOG RESOURCES, INC.</v>
    <v>EOG RESOURCES, INC.</v>
    <v>130.01</v>
    <v>10.210800000000001</v>
    <v>130.01</v>
    <v>125.325</v>
    <v>587389500</v>
    <v>EOG</v>
    <v>EOG RESOURCES, INC. (XNYS:EOG)</v>
    <v>996591</v>
    <v>3960861</v>
    <v>1985</v>
  </rv>
  <rv s="2">
    <v>323</v>
  </rv>
  <rv s="0">
    <v>https://www.bing.com/financeapi/forcetrigger?t=a232mw&amp;q=XNYS%3aSLB&amp;form=skydnc</v>
    <v>Learn more on Bing</v>
  </rv>
  <rv s="1">
    <v>en-US</v>
    <v>a232mw</v>
    <v>268435456</v>
    <v>1</v>
    <v>Powered by Refinitiv</v>
    <v>0</v>
    <v>Schlumberger N.V. (XNYS:SLB)</v>
    <v>2</v>
    <v>3</v>
    <v>Finance</v>
    <v>4</v>
    <v>56.04</v>
    <v>28.96</v>
    <v>1.8224</v>
    <v>-2.11</v>
    <v>-3.9580000000000004E-2</v>
    <v>USD</v>
    <v>Schlumberger N.V. is a technology company. The Company partners with customers to access energy by providing digital solutions and deploying technologies. The Company operates through four segments: Digital &amp; Integration, Reservoir Performance, Well Construction, and Production Systems. The Digital &amp; Integration combines the Company's digital workflow solutions and seismic data interpretation and management businesses with its integrated offering of Asset Performance Solutions. Reservoir Performance consists of reservoir-centric technologies and services that are critical to optimizing reservoir productivity and performance. Well Construction provides operators and drilling rig manufacturers with services and products related to designing and constructing a well. Production Systems develop technologies and provide the expertise that enhances production and recovery from subsurface reservoirs to the surface, into pipelines, and to refineries.</v>
    <v>92000</v>
    <v>New York Stock Exchange</v>
    <v>XNYS</v>
    <v>XNYS</v>
    <v>5599 San Felipe St Fl 17, HOUSTON, TX, 77056-2790 US</v>
    <v>53.53</v>
    <v>Oil &amp; Gas Related Equipment and Services</v>
    <v>Stock</v>
    <v>44917.737112267969</v>
    <v>325</v>
    <v>51.17</v>
    <v>72601600000</v>
    <v>Schlumberger N.V.</v>
    <v>Schlumberger N.V.</v>
    <v>53.21</v>
    <v>25.746700000000001</v>
    <v>53.31</v>
    <v>51.2</v>
    <v>1418000000</v>
    <v>SLB</v>
    <v>Schlumberger N.V. (XNYS:SLB)</v>
    <v>2887306</v>
    <v>11853854</v>
    <v>1956</v>
  </rv>
  <rv s="2">
    <v>326</v>
  </rv>
  <rv s="0">
    <v>http://en.wikipedia.org/wiki/Progressive_Corporation</v>
    <v>Wikipedia</v>
  </rv>
  <rv s="3">
    <v>3</v>
    <v>328</v>
  </rv>
  <rv s="4">
    <v>9</v>
    <v>https://www.bing.com/th?id=AMMS_1ae7fef605fb644f70b899c25b5ca660&amp;qlt=95</v>
    <v>329</v>
    <v>0</v>
    <v>https://www.bing.com/images/search?form=xlimg&amp;q=progressive</v>
    <v>Image of THE PROGRESSIVE CORPORATION</v>
  </rv>
  <rv s="0">
    <v>https://www.bing.com/financeapi/forcetrigger?t=a1ztlh&amp;q=XNYS%3aPGR&amp;form=skydnc</v>
    <v>Learn more on Bing</v>
  </rv>
  <rv s="5">
    <v>en-US</v>
    <v>a1ztlh</v>
    <v>268435456</v>
    <v>1</v>
    <v>Powered by Refinitiv</v>
    <v>5</v>
    <v>THE PROGRESSIVE CORPORATION (XNYS:PGR)</v>
    <v>7</v>
    <v>8</v>
    <v>Finance</v>
    <v>4</v>
    <v>134.5</v>
    <v>100.09</v>
    <v>0.46160000000000001</v>
    <v>-2.0295000000000001</v>
    <v>-1.5717999999999999E-2</v>
    <v>USD</v>
    <v>The Progressive Corporation is an insurance holding company. The Company’s segments include Personal Lines, Commercial Lines and Property. The Personal Lines segment writes insurance for personal autos and recreational vehicles. Its Personal Lines segment products are sold through both the agency and direct channels. The Commercial Lines segment writes auto-related liability and physical damage insurance, workers’ compensation insurance primarily for the transportation industry, and business-related general liability and property insurance, predominately for small businesses. The Commercial Lines segment offers its auto products in all states. The Property segment writes residential property and renters insurance in virtually all states, primarily in the independent agency channel and through select agents. The Company’s non-insurance subsidiaries generally support its insurance and investment operations. The Company operates throughout the United States.</v>
    <v>49000</v>
    <v>New York Stock Exchange</v>
    <v>XNYS</v>
    <v>XNYS</v>
    <v>6300 Wilson Mills Rd, MAYFIELD VILLAGE, OH, 44143 US</v>
    <v>129.28</v>
    <v>330</v>
    <v>Insurance</v>
    <v>Stock</v>
    <v>44917.737103899999</v>
    <v>331</v>
    <v>126.96</v>
    <v>74347942500</v>
    <v>THE PROGRESSIVE CORPORATION</v>
    <v>THE PROGRESSIVE CORPORATION</v>
    <v>128.96</v>
    <v>91.413700000000006</v>
    <v>129.12</v>
    <v>127.09050000000001</v>
    <v>585000000</v>
    <v>PGR</v>
    <v>THE PROGRESSIVE CORPORATION (XNYS:PGR)</v>
    <v>671924</v>
    <v>2305202</v>
    <v>1965</v>
  </rv>
  <rv s="2">
    <v>332</v>
  </rv>
  <rv s="0">
    <v>https://www.bing.com/financeapi/forcetrigger?t=a25k5r&amp;q=XNAS%3aVRTX&amp;form=skydnc</v>
    <v>Learn more on Bing</v>
  </rv>
  <rv s="1">
    <v>en-US</v>
    <v>a25k5r</v>
    <v>268435456</v>
    <v>1</v>
    <v>Powered by Refinitiv</v>
    <v>0</v>
    <v>VERTEX PHARMACEUTICALS INCORPORATED (XNAS:VRTX)</v>
    <v>2</v>
    <v>3</v>
    <v>Finance</v>
    <v>4</v>
    <v>324.75</v>
    <v>214.66</v>
    <v>0.45650000000000002</v>
    <v>1.92</v>
    <v>6.6080000000000002E-3</v>
    <v>USD</v>
    <v>Vertex Pharmaceuticals Incorporated is a global biotechnology company. The Company is focused on developing medicines that treat the underlying cause of cystic fibrosis (CF) and it has several ongoing clinical and research programs to advance and extend treatment of CF. The Company's marketed medicines are TRIKAFTA/KAFTRIO (elexacaftor/tezacaftor/ivacaftor and ivacaftor), SYMDEKO/SYMKEVI (tezacaftor/ivacaftor and ivacaftor), ORKAMBI (lumacaftor/ivacaftor) and KALYDECO (ivacaftor). Its four medicines are being used to treat the people with CF in North America, Europe and Australia. The Company has a pipeline of investigational therapies in other serious diseases where it is leveraging insight into causal human biology, including sickle cell disease, beta thalassemia, APOL1-mediated kidney disease, type 1 diabetes, pain, alpha-1 antitrypsin deficiency, and muscular dystrophies. The Company’s other pipeline products include CTX001, VX-147, VX-121, VX-561, VX-548, and VX-880.</v>
    <v>3900</v>
    <v>Nasdaq Stock Market</v>
    <v>XNAS</v>
    <v>XNAS</v>
    <v>50 Northern Avenue, BOSTON, MA, 02210 US</v>
    <v>293.52</v>
    <v>Biotechnology &amp; Medical Research</v>
    <v>Stock</v>
    <v>44917.737103853906</v>
    <v>334</v>
    <v>288.19009999999997</v>
    <v>75074533758</v>
    <v>VERTEX PHARMACEUTICALS INCORPORATED</v>
    <v>VERTEX PHARMACEUTICALS INCORPORATED</v>
    <v>290.19</v>
    <v>22.931000000000001</v>
    <v>290.55</v>
    <v>292.47000000000003</v>
    <v>256691400</v>
    <v>VRTX</v>
    <v>VERTEX PHARMACEUTICALS INCORPORATED (XNAS:VRTX)</v>
    <v>406105</v>
    <v>1501403</v>
    <v>1989</v>
  </rv>
  <rv s="2">
    <v>335</v>
  </rv>
  <rv s="0">
    <v>https://www.bing.com/financeapi/forcetrigger?t=a1ock2&amp;q=XNYS%3aBDX&amp;form=skydnc</v>
    <v>Learn more on Bing</v>
  </rv>
  <rv s="1">
    <v>en-US</v>
    <v>a1ock2</v>
    <v>268435456</v>
    <v>1</v>
    <v>Powered by Refinitiv</v>
    <v>0</v>
    <v>BECTON, DICKINSON AND COMPANY (XNYS:BDX)</v>
    <v>2</v>
    <v>3</v>
    <v>Finance</v>
    <v>4</v>
    <v>277.29000000000002</v>
    <v>215.9</v>
    <v>0.59850000000000003</v>
    <v>-1.925</v>
    <v>-7.5980000000000006E-3</v>
    <v>USD</v>
    <v>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v>
    <v>77000</v>
    <v>New York Stock Exchange</v>
    <v>XNYS</v>
    <v>XNYS</v>
    <v>One Becton Drive, FRANKLIN LAKES, NJ, 07417-1880 US</v>
    <v>253.85</v>
    <v>Healthcare Equipment &amp; Supplies</v>
    <v>Stock</v>
    <v>44917.737078217186</v>
    <v>337</v>
    <v>251.12719999999999</v>
    <v>71250594273</v>
    <v>BECTON, DICKINSON AND COMPANY</v>
    <v>BECTON, DICKINSON AND COMPANY</v>
    <v>253.51</v>
    <v>42.308999999999997</v>
    <v>253.36</v>
    <v>251.435</v>
    <v>283375800</v>
    <v>BDX</v>
    <v>BECTON, DICKINSON AND COMPANY (XNYS:BDX)</v>
    <v>233383</v>
    <v>1469076</v>
    <v>1906</v>
  </rv>
  <rv s="2">
    <v>338</v>
  </rv>
  <rv s="0">
    <v>https://www.bing.com/financeapi/forcetrigger?t=a1nl77&amp;q=XNYS%3aAPD&amp;form=skydnc</v>
    <v>Learn more on Bing</v>
  </rv>
  <rv s="1">
    <v>en-US</v>
    <v>a1nl77</v>
    <v>268435456</v>
    <v>1</v>
    <v>Powered by Refinitiv</v>
    <v>0</v>
    <v>AIR PRODUCTS AND CHEMICALS, INC. (XNYS:APD)</v>
    <v>2</v>
    <v>3</v>
    <v>Finance</v>
    <v>4</v>
    <v>328.56</v>
    <v>216.24</v>
    <v>0.84050000000000002</v>
    <v>-6.33</v>
    <v>-2.0128E-2</v>
    <v>USD</v>
    <v>Air Products and Chemicals, Inc. is an industrial gases company. The Company provides essential industrial gases, related equipment and applications to customers in various industries, including refining, chemical, metals, electronics, manufacturing, and food and beverage. The Company’s segments include Americas, Asia, Europe, and Middle East and India. The Company is also a supplier of liquefied natural gas process technology and equipment. The Company develops, engineers, builds, owns and operates industrial gas projects, including gasification projects, carbon capture projects,, and carbon-free hydrogen projects supporting global transportation and energy transition. It supplies various gases, such as argon, carbon dioxide, food gases, helium, hydrogen, oxygen, and nitrogen. Its applications include aeration, cooling, cryogenic freezing, filling, fire suppression, heat treating, hydrogen fueling, hydro processing, melting, inserting/blanketing, oxygen enrichment, and welding.</v>
    <v>19710</v>
    <v>New York Stock Exchange</v>
    <v>XNYS</v>
    <v>XNYS</v>
    <v>1940 Air Products Blvd., ALLENTOWN, PA, 18106-5500 US</v>
    <v>312.42</v>
    <v>Chemicals</v>
    <v>Stock</v>
    <v>44917.737085057815</v>
    <v>340</v>
    <v>308.13</v>
    <v>68407729632</v>
    <v>AIR PRODUCTS AND CHEMICALS, INC.</v>
    <v>AIR PRODUCTS AND CHEMICALS, INC.</v>
    <v>312</v>
    <v>31.193200000000001</v>
    <v>314.49</v>
    <v>308.16000000000003</v>
    <v>221987700</v>
    <v>APD</v>
    <v>AIR PRODUCTS AND CHEMICALS, INC. (XNYS:APD)</v>
    <v>282722</v>
    <v>1109056</v>
    <v>1961</v>
  </rv>
  <rv s="2">
    <v>341</v>
  </rv>
  <rv s="0">
    <v>https://www.bing.com/financeapi/forcetrigger?t=bo5fpr&amp;q=XNAS%3aMRNA&amp;form=skydnc</v>
    <v>Learn more on Bing</v>
  </rv>
  <rv s="1">
    <v>en-US</v>
    <v>bo5fpr</v>
    <v>268435456</v>
    <v>1</v>
    <v>Powered by Refinitiv</v>
    <v>0</v>
    <v>MODERNA, INC. (XNAS:MRNA)</v>
    <v>2</v>
    <v>3</v>
    <v>Finance</v>
    <v>4</v>
    <v>267</v>
    <v>115.03</v>
    <v>1.6454</v>
    <v>-5.3</v>
    <v>-2.5232999999999998E-2</v>
    <v>USD</v>
    <v>Moderna, Inc. is a biotechnology company that is focused on creating a transformative medicines based on messenger ribonucleic acid (mRNA), to improve the lives of patients. The Company’s mRNA medicines are designed to direct the body’s cells to produce intracellular, membrane, or secreted proteins that have a therapeutic or preventive benefit with the potential to address a range of spectrum of diseases. It is developing vaccines and therapeutics for infectious diseases, immuno-oncology, rare diseases, autoimmune and cardiovascular diseases, independently and with its strategic collaborators. The Company develops technologies that enable the development of mRNA medicines for diverse applications. It has created modalities, including prophylactic vaccines, systemic secreted and cell surface therapeutics, cancer vaccines, intratumoral immuno-oncology, and systemic intracellular therapeutics. The Company develops technologies that enable the development of mRNA medicines.</v>
    <v>2700</v>
    <v>Nasdaq Stock Market</v>
    <v>XNAS</v>
    <v>XNAS</v>
    <v>200 Technology Sq, Cambridge, MA, 02139-3578 US</v>
    <v>212.44</v>
    <v>Biotechnology &amp; Medical Research</v>
    <v>Stock</v>
    <v>44917.737145589846</v>
    <v>343</v>
    <v>201.61009999999999</v>
    <v>78657115570</v>
    <v>MODERNA, INC.</v>
    <v>MODERNA, INC.</v>
    <v>209.82</v>
    <v>7.5952000000000002</v>
    <v>210.04</v>
    <v>204.74</v>
    <v>384180500</v>
    <v>MRNA</v>
    <v>MODERNA, INC. (XNAS:MRNA)</v>
    <v>3074354</v>
    <v>6187639</v>
    <v>2016</v>
  </rv>
  <rv s="2">
    <v>344</v>
  </rv>
  <rv s="0">
    <v>https://www.bing.com/financeapi/forcetrigger?t=a1xroc&amp;q=XNYS%3aMMM&amp;form=skydnc</v>
    <v>Learn more on Bing</v>
  </rv>
  <rv s="1">
    <v>en-US</v>
    <v>a1xroc</v>
    <v>268435456</v>
    <v>1</v>
    <v>Powered by Refinitiv</v>
    <v>0</v>
    <v>3M COMPANY (XNYS:MMM)</v>
    <v>2</v>
    <v>3</v>
    <v>Finance</v>
    <v>4</v>
    <v>181.78</v>
    <v>107.07</v>
    <v>0.98919999999999997</v>
    <v>-3.49</v>
    <v>-2.8268000000000001E-2</v>
    <v>USD</v>
    <v>3M Company is a diversified global manufacturer, technology innovator and marketer of a variety of products and services.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others. Transportation and Electronics segment consists of advanced materials, automotive and aerospace, commercial solutions, display materials and systems, electronic materials solutions, transportation and safety, and other transportation and electronics. Health Care segment’s products and services include drug delivery, health information systems, medical solutions, oral care solutions, and separation and purification sciences. Consumer segment serves consumers and consists of consumer health care, and others.</v>
    <v>95000</v>
    <v>New York Stock Exchange</v>
    <v>XNYS</v>
    <v>XNYS</v>
    <v>3M Center, Bldg. 220-13E-26A, SAINT PAUL, MN, 55144-1000 US</v>
    <v>122.5</v>
    <v>Consumer Goods Conglomerates</v>
    <v>Stock</v>
    <v>44917.73713236094</v>
    <v>346</v>
    <v>119.91</v>
    <v>66312565713</v>
    <v>3M COMPANY</v>
    <v>3M COMPANY</v>
    <v>122.22</v>
    <v>10.759499999999999</v>
    <v>123.46</v>
    <v>119.97</v>
    <v>552742900</v>
    <v>MMM</v>
    <v>3M COMPANY (XNYS:MMM)</v>
    <v>780207</v>
    <v>2907159</v>
    <v>1929</v>
  </rv>
  <rv s="2">
    <v>347</v>
  </rv>
  <rv s="0">
    <v>https://www.bing.com/financeapi/forcetrigger?t=a26hyc&amp;q=XNYS%3aZTS&amp;form=skydnc</v>
    <v>Learn more on Bing</v>
  </rv>
  <rv s="1">
    <v>en-US</v>
    <v>a26hyc</v>
    <v>268435456</v>
    <v>1</v>
    <v>Powered by Refinitiv</v>
    <v>0</v>
    <v>ZOETIS INC. (XNYS:ZTS)</v>
    <v>2</v>
    <v>3</v>
    <v>Finance</v>
    <v>4</v>
    <v>249.27</v>
    <v>124.14830000000001</v>
    <v>0.7288</v>
    <v>-1.95</v>
    <v>-1.3455999999999999E-2</v>
    <v>USD</v>
    <v>Zoetis Inc. is an animal health company. The Company is focused on the discovery, development, manufacture and commercialization of medicines, vaccines, diagnostic products and services, biodevices, genetic tests and precision animal health technology. It commercializes products across eight core species: dogs, cats and horses and cattle, swine, poultry, fish and sheep and within product categories, such as vaccines, anti-infectives, parasiticides, dermatology, other pharmaceutical products, medicated feed additives and animal health diagnostics. It operates through two segments: the United States and International. Within each of these operating segments, it offers a product portfolio for both companion animal and livestock customers, including Alfaxan. The Company market its products in approximately 45 countries across North America, Europe, Africa, Asia, Australia and South America, and its products are sold in more than 100 countries.</v>
    <v>12100</v>
    <v>New York Stock Exchange</v>
    <v>XNYS</v>
    <v>XNYS</v>
    <v>10 Sylvan Way, PARSIPPANY, NJ, 07054 US</v>
    <v>144.96</v>
    <v>Pharmaceuticals</v>
    <v>Stock</v>
    <v>44917.73706067109</v>
    <v>349</v>
    <v>142.77500000000001</v>
    <v>66634313840</v>
    <v>ZOETIS INC.</v>
    <v>ZOETIS INC.</v>
    <v>143.76</v>
    <v>33.123100000000001</v>
    <v>144.91999999999999</v>
    <v>142.97</v>
    <v>466072000</v>
    <v>ZTS</v>
    <v>ZOETIS INC. (XNYS:ZTS)</v>
    <v>595864</v>
    <v>2315058</v>
    <v>2012</v>
  </rv>
  <rv s="2">
    <v>350</v>
  </rv>
  <rv s="0">
    <v>https://www.bing.com/financeapi/forcetrigger?t=a1oxur&amp;q=XNYS%3aBSX&amp;form=skydnc</v>
    <v>Learn more on Bing</v>
  </rv>
  <rv s="1">
    <v>en-US</v>
    <v>a1oxur</v>
    <v>268435456</v>
    <v>1</v>
    <v>Powered by Refinitiv</v>
    <v>0</v>
    <v>BOSTON SCIENTIFIC CORPORATION (XNYS:BSX)</v>
    <v>2</v>
    <v>3</v>
    <v>Finance</v>
    <v>4</v>
    <v>47.95</v>
    <v>34.979999999999997</v>
    <v>0.83730000000000004</v>
    <v>-0.54500000000000004</v>
    <v>-1.1827000000000001E-2</v>
    <v>USD</v>
    <v>Boston Scientific Corporation is a developer, manufacturer, and marketer of medical devices. The Company’s business segments include MedSurg, Rhythm and Neuro, and Cardiovascular. The MedSurg segment includes Endoscopy and Urology and Pelvic Health. Its Endoscopy business develops and manufactures devices to diagnose and treat a range of gastrointestinal (GI) and pulmonary conditions. Its Urology and Pelvic Health business develops and manufactures devices to treat various urological and pelvic conditions. The Rhythm and Neuro segment include Cardiac Rhythm Management (CRM) and Electrophysiology. Its CRM develops and manufactures a variety of implantable devices that monitor the heart and deliver electricity to treat cardiac abnormalities. The Cardiovascular segment include Interventional Cardiology and Peripheral Interventions. Its Interventional Cardiology develops and manufactures technologies for diagnosing and treating coronary artery disease and structural heart conditions.</v>
    <v>41000</v>
    <v>New York Stock Exchange</v>
    <v>XNYS</v>
    <v>XNYS</v>
    <v>300 Boston Scientific Way, MARLBOROUGH, MA, 01752-1234 US</v>
    <v>46.03</v>
    <v>Healthcare Equipment &amp; Supplies</v>
    <v>Stock</v>
    <v>44917.737104096872</v>
    <v>352</v>
    <v>45.520899999999997</v>
    <v>65220281384</v>
    <v>BOSTON SCIENTIFIC CORPORATION</v>
    <v>BOSTON SCIENTIFIC CORPORATION</v>
    <v>45.805</v>
    <v>111.0201</v>
    <v>46.08</v>
    <v>45.534999999999997</v>
    <v>1432311000</v>
    <v>BSX</v>
    <v>BOSTON SCIENTIFIC CORPORATION (XNYS:BSX)</v>
    <v>1863606</v>
    <v>5943340</v>
    <v>1979</v>
  </rv>
  <rv s="2">
    <v>353</v>
  </rv>
  <rv s="0">
    <v>https://www.bing.com/financeapi/forcetrigger?t=a1pshw&amp;q=XNYS%3aCL&amp;form=skydnc</v>
    <v>Learn more on Bing</v>
  </rv>
  <rv s="1">
    <v>en-US</v>
    <v>a1pshw</v>
    <v>268435456</v>
    <v>1</v>
    <v>Powered by Refinitiv</v>
    <v>0</v>
    <v>COLGATE-PALMOLIVE COMPANY (XNYS:CL)</v>
    <v>2</v>
    <v>3</v>
    <v>Finance</v>
    <v>4</v>
    <v>85.61</v>
    <v>67.84</v>
    <v>0.49969999999999998</v>
    <v>-0.4</v>
    <v>-5.0639999999999999E-3</v>
    <v>USD</v>
    <v>Colgate-Palmolive Company is a household and consumer products company. The Company operates in two product segments: Oral, Personal and Home Care; and Pet Nutrition. The Oral, Personal and Home Care product segment is managed geographically in five segments, such as North America, Latin America, Europe, Asia Pacific and Africa/Eurasia, all of which sell primarily to a variety of traditional and e-commerce retailers, wholesalers, distributors, dentists and skin health professionals. Through Hill's Pet Nutrition, it is also engaged in the pet nutrition market, selling products principally through authorized pet supply retailers, veterinarians, and e-commerce retailers. It also sells certain of its products direct-to-consumer. It sells its toothpastes under brands, such as Colgate, Darlie, elmex, hello, meridol, Sorriso and Tom's of Maine; its toothbrushes under brands, such as Colgate, Darlie, elmex and meridol; and its mouthwashes under brands, such as Colgate, elmex and meridol.</v>
    <v>33800</v>
    <v>New York Stock Exchange</v>
    <v>XNYS</v>
    <v>XNYS</v>
    <v>300 PARK AVE, NEW YORK, NY, 10022 US</v>
    <v>79.099900000000005</v>
    <v>Personal &amp; Household Products &amp; Services</v>
    <v>Stock</v>
    <v>44917.737111318747</v>
    <v>355</v>
    <v>78.47</v>
    <v>65639483978</v>
    <v>COLGATE-PALMOLIVE COMPANY</v>
    <v>COLGATE-PALMOLIVE COMPANY</v>
    <v>78.98</v>
    <v>34.450400000000002</v>
    <v>78.989999999999995</v>
    <v>78.59</v>
    <v>835214200</v>
    <v>CL</v>
    <v>COLGATE-PALMOLIVE COMPANY (XNYS:CL)</v>
    <v>791847</v>
    <v>3710144</v>
    <v>1923</v>
  </rv>
  <rv s="2">
    <v>356</v>
  </rv>
  <rv s="0">
    <v>https://www.bing.com/financeapi/forcetrigger?t=a246z2&amp;q=XNYS%3aTGT&amp;form=skydnc</v>
    <v>Learn more on Bing</v>
  </rv>
  <rv s="1">
    <v>en-US</v>
    <v>a246z2</v>
    <v>268435456</v>
    <v>1</v>
    <v>Powered by Refinitiv</v>
    <v>0</v>
    <v>TARGET CORPORATION (XNYS:TGT)</v>
    <v>2</v>
    <v>3</v>
    <v>Finance</v>
    <v>4</v>
    <v>254.87</v>
    <v>137.16</v>
    <v>1.0478000000000001</v>
    <v>-2.3860000000000001</v>
    <v>-1.6767000000000001E-2</v>
    <v>USD</v>
    <v>Target Corporation (Target) is a general merchandise retailer selling products through its stores and digital channels. The Company sells an assortment of general merchandise and food. The Company’s product category includes apparel and accessories, beauty and household essentials, food and beverage, hardlines, and home furnishing and decor. Its general merchandise stores offer an edited food assortment, including perishables, dry grocery, dairy and frozen items. The Company operates over 1,941 stores and has stores of approximately 170,000 square feet offer a full line of food items comparable to traditional supermarkets. Its small-format stores has over 50,000 square feet that offer curated general merchandise and food assortments. Its brands include Art Class, Smartly, Auden, JoyLab, Smith &amp; Hawken, Ava &amp; Viv, Kindfull, Sonia Kashuk, Casaluna, Market Pantry, Threshold, Cat &amp; Jack, Mondo Llama, Universal Thread, Cloud Island, More Than Magic, up &amp; up, Colsie, Opalhouse, and others.</v>
    <v>450000</v>
    <v>New York Stock Exchange</v>
    <v>XNYS</v>
    <v>XNYS</v>
    <v>1000 Nicollet Mall, MINNEAPOLIS, MN, 55403 US</v>
    <v>141.71</v>
    <v>Diversified Retail</v>
    <v>Stock</v>
    <v>44917.737119027341</v>
    <v>358</v>
    <v>139.68</v>
    <v>64403827331</v>
    <v>TARGET CORPORATION</v>
    <v>TARGET CORPORATION</v>
    <v>141.66</v>
    <v>19.479600000000001</v>
    <v>142.30000000000001</v>
    <v>139.91399999999999</v>
    <v>460310100</v>
    <v>TGT</v>
    <v>TARGET CORPORATION (XNYS:TGT)</v>
    <v>1843006</v>
    <v>6467874</v>
    <v>1902</v>
  </rv>
  <rv s="2">
    <v>359</v>
  </rv>
  <rv s="0">
    <v>https://www.bing.com/financeapi/forcetrigger?t=a1qga2&amp;q=XNAS%3aCSX&amp;form=skydnc</v>
    <v>Learn more on Bing</v>
  </rv>
  <rv s="1">
    <v>en-US</v>
    <v>a1qga2</v>
    <v>268435456</v>
    <v>1</v>
    <v>Powered by Refinitiv</v>
    <v>0</v>
    <v>CSX Corporation (XNAS:CSX)</v>
    <v>2</v>
    <v>3</v>
    <v>Finance</v>
    <v>4</v>
    <v>38.630000000000003</v>
    <v>25.8</v>
    <v>1.2403999999999999</v>
    <v>-0.58499999999999996</v>
    <v>-1.8737999999999998E-2</v>
    <v>USD</v>
    <v>CSX Corporation is a transportation company. The Company provides rail-based freight transportation services, including traditional rail service and transport of intermodal containers and trailers, as well as other transportation services, such as rail-to-truck transfers and bulk commodity operations. It categorizes its products into primary lines of business such as merchandise, intermodal and coal. Its intermodal business links customers to railroads through trucks and terminals. Its merchandise business consists of shipments in markets, such as agricultural and food products, automotive, minerals, forest products, metals and equipment, and fertilizers. It transports domestic coal, coke and iron ore to electricity-generating power plants, steel manufacturers and industrial plants, as well as export coal to deep-water port facilities. Its principal operating subsidiary, CSX Transportation, Inc., provides an important link to the transportation supply chain through its route-mile rail.</v>
    <v>16700</v>
    <v>Nasdaq Stock Market</v>
    <v>XNAS</v>
    <v>XNAS</v>
    <v>15TH FLOOR, 500 WATER STREET, JACKSONVILLE, FL, 32202 US</v>
    <v>31.024999999999999</v>
    <v>Freight &amp; Logistics Services</v>
    <v>Stock</v>
    <v>44917.737134988281</v>
    <v>361</v>
    <v>30.622499999999999</v>
    <v>64407299715</v>
    <v>CSX Corporation</v>
    <v>CSX Corporation</v>
    <v>30.95</v>
    <v>16.603100000000001</v>
    <v>31.22</v>
    <v>30.635000000000002</v>
    <v>2102409000</v>
    <v>CSX</v>
    <v>CSX Corporation (XNAS:CSX)</v>
    <v>3168359</v>
    <v>14633681</v>
    <v>1978</v>
  </rv>
  <rv s="2">
    <v>362</v>
  </rv>
  <rv s="0">
    <v>https://www.bing.com/financeapi/forcetrigger?t=a1sx27&amp;q=XNAS%3aFISV&amp;form=skydnc</v>
    <v>Learn more on Bing</v>
  </rv>
  <rv s="1">
    <v>en-US</v>
    <v>a1sx27</v>
    <v>268435456</v>
    <v>1</v>
    <v>Powered by Refinitiv</v>
    <v>0</v>
    <v>FISERV, INC. (XNAS:FISV)</v>
    <v>2</v>
    <v>3</v>
    <v>Finance</v>
    <v>4</v>
    <v>110.99</v>
    <v>87.03</v>
    <v>0.874</v>
    <v>-2.6</v>
    <v>-2.5707000000000001E-2</v>
    <v>USD</v>
    <v>Fiserv, Inc. is a global provider of payments and financial services technology solutions. The Company provides account processing and digital banking solutions, card issuer processing and network services, payments, e-commerce, merchant acquiring and processing, and the Clover cloud-based point-of-sale solution. The Company’s segments include Merchant Acceptance (Acceptance), Financial Technology (Fintech) and Payments and Network (Payments). The Acceptance segment provides a range of commerce-enabling solutions and serves merchants of all sizes around the world. Acceptance solutions enable businesses to securely accept consumers’ electronic payment transactions online or in-person. The Fintech segment provides financial institutions around the world with the technology solutions they need to run their operations. The Payments segment provides financial institutions and corporate clients around the world with the products and services required to process digital payment transactions.</v>
    <v>44000</v>
    <v>Nasdaq Stock Market</v>
    <v>XNAS</v>
    <v>XNAS</v>
    <v>Po Box 979, 255 Fiserv Dr, BROOKFIELD, WI, 53045 US</v>
    <v>101.06</v>
    <v>Professional &amp; Commercial Services</v>
    <v>Stock</v>
    <v>44917.737109721878</v>
    <v>364</v>
    <v>98.525000000000006</v>
    <v>62575668974</v>
    <v>FISERV, INC.</v>
    <v>FISERV, INC.</v>
    <v>100.38</v>
    <v>31.7652</v>
    <v>101.14</v>
    <v>98.54</v>
    <v>635028100</v>
    <v>FISV</v>
    <v>FISERV, INC. (XNAS:FISV)</v>
    <v>615952</v>
    <v>3250533</v>
    <v>1992</v>
  </rv>
  <rv s="2">
    <v>365</v>
  </rv>
  <rv s="0">
    <v>https://www.bing.com/financeapi/forcetrigger?t=a1uysm&amp;q=XNYS%3aHUM&amp;form=skydnc</v>
    <v>Learn more on Bing</v>
  </rv>
  <rv s="1">
    <v>en-US</v>
    <v>a1uysm</v>
    <v>268435456</v>
    <v>1</v>
    <v>Powered by Refinitiv</v>
    <v>0</v>
    <v>HUMANA INC. (XNYS:HUM)</v>
    <v>2</v>
    <v>3</v>
    <v>Finance</v>
    <v>4</v>
    <v>571.29999999999995</v>
    <v>351.2</v>
    <v>0.76800000000000002</v>
    <v>-0.94</v>
    <v>-1.8500000000000001E-3</v>
    <v>USD</v>
    <v>Humana Inc. is a health and well-being company. The Company operates through three reportable segments: Retail, Group and Specialty, and Healthcare Services. The Retail segment consists of Medicare benefits, marketed to individuals or directly via group Medicare accounts. It also includes its contract to administer the limited income newly eligible transition (LI-NET), prescription drug plan program and contracts with various states to provide Medicaid, dual eligible demonstration, and long-term support services benefits. The Group and Specialty segment consists of employer group commercial fully insured medical and specialty health insurance benefits marketed to individuals and employer groups, including dental, vision, and other supplemental health benefits, as well as administrative services only products. The Healthcare Services segment includes pharmacy, provider, and home services, along with other services and capabilities to promote wellness and population health.</v>
    <v>95500</v>
    <v>New York Stock Exchange</v>
    <v>XNYS</v>
    <v>XNYS</v>
    <v>500 W Main St, LOUISVILLE, KY, 40202 US</v>
    <v>511.42989999999998</v>
    <v>Healthcare Providers &amp; Services</v>
    <v>Stock</v>
    <v>44917.737048784373</v>
    <v>367</v>
    <v>507</v>
    <v>64207874151</v>
    <v>HUMANA INC.</v>
    <v>HUMANA INC.</v>
    <v>507.95</v>
    <v>23.0471</v>
    <v>508.11</v>
    <v>507.17</v>
    <v>126600300</v>
    <v>HUM</v>
    <v>HUMANA INC. (XNYS:HUM)</v>
    <v>252607</v>
    <v>1009952</v>
    <v>1964</v>
  </rv>
  <rv s="2">
    <v>368</v>
  </rv>
  <rv s="0">
    <v>https://www.bing.com/financeapi/forcetrigger?t=a1safr&amp;q=XNYS%3aETN&amp;form=skydnc</v>
    <v>Learn more on Bing</v>
  </rv>
  <rv s="1">
    <v>en-US</v>
    <v>a1safr</v>
    <v>268435456</v>
    <v>1</v>
    <v>Powered by Refinitiv</v>
    <v>0</v>
    <v>EATON CORPORATION PUBLIC LIMITED COMPANY (XNYS:ETN)</v>
    <v>2</v>
    <v>3</v>
    <v>Finance</v>
    <v>4</v>
    <v>173.68</v>
    <v>122.5</v>
    <v>1.1611</v>
    <v>-3.87</v>
    <v>-2.4474999999999997E-2</v>
    <v>USD</v>
    <v>Eaton Corporation plc is a power management company. The Company's Electrical Americas segment consists of electrical components, industrial components, power distribution and assemblies, residential products, single phase power quality and connectivity, three phase power quality, and wiring devices, among others. The Electrical Global segment consists of electrical components, industrial components, power distribution and assemblies, single phase and three phase power quality, and services. The Vehicle segment is engaged in the design, manufacture, marketing, and supply of drivetrain, powertrain systems and critical components for cars, light trucks, and commercial vehicles. The Aerospace segment is a supplier of aerospace fuel, hydraulics, and pneumatic systems for commercial and military use, as well as filtration systems for industrial applications. The eMobility segment designs, manufactures, markets, and supplies, mechanical, electrical, and electronic components and systems.</v>
    <v>85947</v>
    <v>New York Stock Exchange</v>
    <v>XNYS</v>
    <v>XNYS</v>
    <v>Eaton Hse, 30 Pembroke Road, DUBLIN, IRELAND-NA IE</v>
    <v>157.12</v>
    <v>Machinery, Equipment &amp; Components</v>
    <v>Stock</v>
    <v>44917.737114328127</v>
    <v>370</v>
    <v>154.15</v>
    <v>61345225000</v>
    <v>EATON CORPORATION PUBLIC LIMITED COMPANY</v>
    <v>EATON CORPORATION PUBLIC LIMITED COMPANY</v>
    <v>156.82</v>
    <v>27.6784</v>
    <v>158.12</v>
    <v>154.25</v>
    <v>397700000</v>
    <v>ETN</v>
    <v>EATON CORPORATION PUBLIC LIMITED COMPANY (XNYS:ETN)</v>
    <v>355442</v>
    <v>1616202</v>
    <v>2012</v>
  </rv>
  <rv s="2">
    <v>371</v>
  </rv>
  <rv s="0">
    <v>http://commons.wikimedia.org/wiki/File:2006-06-07_840x1500_chicago_aon_building.jpg</v>
    <v>J. Crocker</v>
  </rv>
  <rv s="0">
    <v>http://es.wikipedia.org/wiki/Aon</v>
    <v>Wikipedia</v>
  </rv>
  <rv s="3">
    <v>373</v>
    <v>374</v>
  </rv>
  <rv s="4">
    <v>9</v>
    <v>https://www.bing.com/th?id=AMMS_7617e91f3c55e615e2b5e1f75761cfe5&amp;qlt=95</v>
    <v>375</v>
    <v>0</v>
    <v>https://www.bing.com/images/search?form=xlimg&amp;q=aon+company</v>
    <v>Image of Aon plc</v>
  </rv>
  <rv s="0">
    <v>https://www.bing.com/financeapi/forcetrigger?t=a1nkgh&amp;q=XNYS%3aAON&amp;form=skydnc</v>
    <v>Learn more on Bing</v>
  </rv>
  <rv s="5">
    <v>en-US</v>
    <v>a1nkgh</v>
    <v>268435456</v>
    <v>1</v>
    <v>Powered by Refinitiv</v>
    <v>5</v>
    <v>Aon plc (XNYS:AON)</v>
    <v>7</v>
    <v>8</v>
    <v>Finance</v>
    <v>4</v>
    <v>341.98</v>
    <v>246.21</v>
    <v>0.87890000000000001</v>
    <v>-4.51</v>
    <v>-1.4883E-2</v>
    <v>USD</v>
    <v>Aon PLC is a global professional services company. The Company provides advice and solutions to clients focused on risk, retirement and health, delivering distinctive client value via risk management and workforce productivity solutions. Its principal products and services include commercial risk solutions, reinsurance solutions, retirement solutions, health solutions and data &amp; analytic services. Commercial risk solutions includes retail brokerage, cyber solutions, global risk consulting and captives. Reinsurance solutions includes treaty and facultative reinsurance and capital markets. Retirement solutions includes core retirement, investment consulting and human capital. Health solutions includes health and benefits brokerage and health care exchanges. Data &amp; analytic services includes Affinity, Aon InPoint and ReView. The Company focuses on various market segments, including individuals, mid-market companies and global companies.</v>
    <v>50000</v>
    <v>New York Stock Exchange</v>
    <v>XNYS</v>
    <v>XNYS</v>
    <v>Metropolitan Building, James Joyce Street, DUBLIN, IRELAND-NA, D01 K0Y8 IE</v>
    <v>302.97000000000003</v>
    <v>376</v>
    <v>Insurance</v>
    <v>Stock</v>
    <v>44917.736929675782</v>
    <v>377</v>
    <v>298.3</v>
    <v>61749727708</v>
    <v>Aon plc</v>
    <v>Aon plc</v>
    <v>302.61</v>
    <v>23.527799999999999</v>
    <v>303.02999999999997</v>
    <v>298.52</v>
    <v>206852900</v>
    <v>AON</v>
    <v>Aon plc (XNYS:AON)</v>
    <v>138379</v>
    <v>868862</v>
    <v>2020</v>
  </rv>
  <rv s="2">
    <v>378</v>
  </rv>
  <rv s="0">
    <v>https://www.bing.com/financeapi/forcetrigger?t=a1vv8m&amp;q=XNYS%3aITW&amp;form=skydnc</v>
    <v>Learn more on Bing</v>
  </rv>
  <rv s="1">
    <v>en-US</v>
    <v>a1vv8m</v>
    <v>268435456</v>
    <v>1</v>
    <v>Powered by Refinitiv</v>
    <v>0</v>
    <v>ILLINOIS TOOL WORKS INC. (XNYS:ITW)</v>
    <v>2</v>
    <v>3</v>
    <v>Finance</v>
    <v>4</v>
    <v>249.81209999999999</v>
    <v>173.52</v>
    <v>1.1231</v>
    <v>-5.4396000000000004</v>
    <v>-2.4468999999999998E-2</v>
    <v>USD</v>
    <v>Illinois Tool Works Inc. is a manufacturer of industrial products and equipment. The Company’s segments include Automotive OEM, Test &amp; Measurement and Electronics, Welding, Construction Products, and Specialty Products. The Automotive OEM segment produces components and fasteners. The Test &amp; Measurement and Electronics segment produce equipment, consumables, and related software for testing and measuring materials and structures, as well as equipment and consumables used in the production of electronic subassemblies and microelectronics. The Welding segment produces arc welding equipment, consumables and accessories for a wide array of industrial and commercial applications. Construction Products segment supplies engineered fastening systems and solutions. The Company’s Specialty Products segment produces beverage packaging equipment and consumables product coding and marking equipment and consumables, and appliance components and fasteners.</v>
    <v>45000</v>
    <v>New York Stock Exchange</v>
    <v>XNYS</v>
    <v>XNYS</v>
    <v>155 Harlem Ave, 3600 WEST LAKE AVE, GLENVIEW, IL, 60026-1215 US</v>
    <v>220.48</v>
    <v>Consumer Goods Conglomerates</v>
    <v>Stock</v>
    <v>44917.737101087499</v>
    <v>380</v>
    <v>216.87039999999999</v>
    <v>66619637442</v>
    <v>ILLINOIS TOOL WORKS INC.</v>
    <v>ILLINOIS TOOL WORKS INC.</v>
    <v>220.48</v>
    <v>25.375399999999999</v>
    <v>222.31</v>
    <v>216.87039999999999</v>
    <v>307186400</v>
    <v>ITW</v>
    <v>ILLINOIS TOOL WORKS INC. (XNYS:ITW)</v>
    <v>307808</v>
    <v>1054215</v>
    <v>1961</v>
  </rv>
  <rv s="2">
    <v>381</v>
  </rv>
  <rv s="0">
    <v>https://www.bing.com/financeapi/forcetrigger?t=a1px2w&amp;q=XNAS%3aCME&amp;form=skydnc</v>
    <v>Learn more on Bing</v>
  </rv>
  <rv s="1">
    <v>en-US</v>
    <v>a1px2w</v>
    <v>268435456</v>
    <v>1</v>
    <v>Powered by Refinitiv</v>
    <v>0</v>
    <v>CME GROUP INC. (XNAS:CME)</v>
    <v>2</v>
    <v>3</v>
    <v>Finance</v>
    <v>4</v>
    <v>256.94</v>
    <v>166.58</v>
    <v>0.4052</v>
    <v>-2.36</v>
    <v>-1.3651999999999999E-2</v>
    <v>USD</v>
    <v>CME Group Inc. provides products across all asset classes, by trading futures, options, cash and over-the-counter (OTC) products. The Company offers a range of products across interest rates, equity indexes, foreign exchange (FX), agricultural commodities, energy and metals. It also offers cash and repo fixed income trading through BrokerTec, and cash and OTC FX trading through electronic broking services (EBS). The Company’s segment consists of the Chicago Mercantile Exchange Inc. (CME), Board of Trade of the City of Chicago, Inc. (CBOT), New York Mercantile Exchange, Inc. (NYMEX), Commodity Exchange, Inc. (COMEX) and its cash markets business. In addition, it operates central counterparty clearinghouses. The Company offers clearing, settlement and guarantees for all products cleared through the clearinghouse. Its subsidiaries include Astley &amp; Pearce Limited, Board of Trade of the City of Chicago, Inc., BrokerTec Americas LLC, BrokerTec Europe Limited and BrokerTec Holdings Inc.</v>
    <v>3480</v>
    <v>Nasdaq Stock Market</v>
    <v>XNAS</v>
    <v>XNAS</v>
    <v>20 S Wacker Dr, CHICAGO, IL, 60606 US</v>
    <v>173.10499999999999</v>
    <v>Investment Banking &amp; Investment Services</v>
    <v>Stock</v>
    <v>44917.737084964843</v>
    <v>383</v>
    <v>170.46</v>
    <v>61336709750</v>
    <v>CME GROUP INC.</v>
    <v>CME GROUP INC.</v>
    <v>172.04</v>
    <v>23.595500000000001</v>
    <v>172.87</v>
    <v>170.51</v>
    <v>359725000</v>
    <v>CME</v>
    <v>CME GROUP INC. (XNAS:CME)</v>
    <v>745816</v>
    <v>2305789</v>
    <v>2001</v>
  </rv>
  <rv s="2">
    <v>384</v>
  </rv>
  <rv s="0">
    <v>https://www.bing.com/financeapi/forcetrigger?t=a21277&amp;q=XNYS%3aPNC&amp;form=skydnc</v>
    <v>Learn more on Bing</v>
  </rv>
  <rv s="1">
    <v>en-US</v>
    <v>a21277</v>
    <v>268435456</v>
    <v>1</v>
    <v>Powered by Refinitiv</v>
    <v>0</v>
    <v>THE PNC FINANCIAL SERVICES GROUP, INC. (XNYS:PNC)</v>
    <v>2</v>
    <v>3</v>
    <v>Finance</v>
    <v>4</v>
    <v>228.14250000000001</v>
    <v>143.5213</v>
    <v>1.1497999999999999</v>
    <v>-2.72</v>
    <v>-1.7674000000000002E-2</v>
    <v>USD</v>
    <v>The PNC Financial Services Group, Inc. is a diversified financial services company. The Company has businesses engaged in retail banking, including residential mortgage, corporate and institutional banking and asset management. Its retail branch network is located coast-to-coast. The Company's segments include Retail Banking, Corporate &amp; Institutional Banking and Asset Management Group. The Retail Banking segment provides deposit, lending, brokerage, investment management and cash management products and services to consumer and small business customers. The Corporate &amp; Institutional Banking segment provides lending, treasury management and capital markets-related products and services to mid-sized and large corporations, and government and not-for-profit entities. Asset Management Group segment includes personal wealth management for high net worth and ultra-high net worth clients and institutional asset management. It is also engaged in point of sale (POS) and payments solutions.</v>
    <v>57668</v>
    <v>New York Stock Exchange</v>
    <v>XNYS</v>
    <v>XNYS</v>
    <v>The Tower At Pnc Plaza, 300 Fifth Avenue, PITTSBURGH, PA, 15222-2401 US</v>
    <v>153.19999999999999</v>
    <v>Banking Services</v>
    <v>Stock</v>
    <v>44917.737109363283</v>
    <v>386</v>
    <v>151.125</v>
    <v>60973766420</v>
    <v>THE PNC FINANCIAL SERVICES GROUP, INC.</v>
    <v>THE PNC FINANCIAL SERVICES GROUP, INC.</v>
    <v>152.9</v>
    <v>12.054</v>
    <v>153.9</v>
    <v>151.18</v>
    <v>403319000</v>
    <v>PNC</v>
    <v>THE PNC FINANCIAL SERVICES GROUP, INC. (XNYS:PNC)</v>
    <v>534580</v>
    <v>2262772</v>
    <v>1983</v>
  </rv>
  <rv s="2">
    <v>387</v>
  </rv>
  <rv s="0">
    <v>https://www.bing.com/financeapi/forcetrigger?t=a1s4mw&amp;q=XNAS%3aEQIX&amp;form=skydnc</v>
    <v>Learn more on Bing</v>
  </rv>
  <rv s="1">
    <v>en-US</v>
    <v>a1s4mw</v>
    <v>268435456</v>
    <v>1</v>
    <v>Powered by Refinitiv</v>
    <v>0</v>
    <v>EQUINIX, INC. (XNAS:EQIX)</v>
    <v>2</v>
    <v>3</v>
    <v>Finance</v>
    <v>4</v>
    <v>853.42</v>
    <v>494.89</v>
    <v>0.58819999999999995</v>
    <v>-19.440000000000001</v>
    <v>-2.9190999999999998E-2</v>
    <v>USD</v>
    <v>Equinix, Inc. (Equinix) is a digital infrastructure company. The Company provides colocation space and related offerings. Equinix provides insight for global enterprises, content providers, financial companies and network service providers to connect their information assets. The Company’s segments include Americas, EMEA and Asia-Pacific. Equinix’s platform Equinix, combines a global footprint of International Business Exchange (IBX) data centers in the Americas (AMER), Asia-Pacific (APAC), and Europe, the Middle East and Africa (EMEA) regions, interconnection solutions, edge services, business and digital ecosystems, and consulting and support. Equinix’s interconnected data centers around the world allows it customers to bring together and interconnect the infrastructure they need to track their digital advantage. It provides each customer access to a choice of business partners and solutions based on their colocation, interconnection and managed information technology service needs.</v>
    <v>10944</v>
    <v>Nasdaq Stock Market</v>
    <v>XNAS</v>
    <v>XNAS</v>
    <v>1 Lagoon Dr, REDWOOD CITY, CA, 94065-1562 US</v>
    <v>660.8</v>
    <v>Residential &amp; Commercial REIT</v>
    <v>Stock</v>
    <v>44917.737053298435</v>
    <v>389</v>
    <v>646.17999999999995</v>
    <v>59826819961</v>
    <v>EQUINIX, INC.</v>
    <v>EQUINIX, INC.</v>
    <v>654.07000000000005</v>
    <v>87.155799999999999</v>
    <v>665.95</v>
    <v>646.51</v>
    <v>92538120</v>
    <v>EQIX</v>
    <v>EQUINIX, INC. (XNAS:EQIX)</v>
    <v>121849</v>
    <v>471580</v>
    <v>1998</v>
  </rv>
  <rv s="2">
    <v>390</v>
  </rv>
  <rv s="0">
    <v>https://www.bing.com/financeapi/forcetrigger?t=a1x4f2&amp;q=XNAS%3aLRCX&amp;form=skydnc</v>
    <v>Learn more on Bing</v>
  </rv>
  <rv s="1">
    <v>en-US</v>
    <v>a1x4f2</v>
    <v>268435456</v>
    <v>1</v>
    <v>Powered by Refinitiv</v>
    <v>0</v>
    <v>LAM RESEARCH CORPORATION (XNAS:LRCX)</v>
    <v>2</v>
    <v>3</v>
    <v>Finance</v>
    <v>4</v>
    <v>731.8492</v>
    <v>299.59199999999998</v>
    <v>1.4142999999999999</v>
    <v>-50.38</v>
    <v>-0.11248799999999999</v>
    <v>USD</v>
    <v>Lam Research Corporation is a supplier of wafer fabrication equipment and services to the semiconductor industry. The Company designs, manufactures, markets, refurbishes, and services semiconductor processing equipment used in the fabrication of integrated circuits. Its products and services are designed to help its customers build devices that are used in a variety of electronic products, including mobile phones, personal computers, servers, wearables, automotive vehicles, and data storage devices. Its product families include ALTUS, SABRE, SOLA, SPEED, Striker, VECTOR, Flex, Kiyo, Syndion, Versys Metal, Coronus, DV-Prime , Da Vinci , EOS , and SP Series. Its customer base includes semiconductor memory, foundry, and integrated device manufacturers (IDMs) that make products, such as non-volatile memory (NVM), dynamic random-access memory (DRAM) and logic devices. It offers services in areas, such as nanoscale applications enablement, chemistry, plasma and fluidics, and others.</v>
    <v>17700</v>
    <v>Nasdaq Stock Market</v>
    <v>XNAS</v>
    <v>XNAS</v>
    <v>4650 Cushing Blvd, FREMONT, CA, 94538 US</v>
    <v>433.04</v>
    <v>Semiconductors &amp; Semiconductor Equipment</v>
    <v>Stock</v>
    <v>44917.737124178122</v>
    <v>392</v>
    <v>397.15</v>
    <v>54209407957</v>
    <v>LAM RESEARCH CORPORATION</v>
    <v>LAM RESEARCH CORPORATION</v>
    <v>431.8</v>
    <v>12.8438</v>
    <v>447.87</v>
    <v>397.49</v>
    <v>136379300</v>
    <v>LRCX</v>
    <v>LAM RESEARCH CORPORATION (XNAS:LRCX)</v>
    <v>1435456</v>
    <v>1286240</v>
    <v>1989</v>
  </rv>
  <rv s="2">
    <v>393</v>
  </rv>
  <rv s="0">
    <v>https://www.bing.com/financeapi/forcetrigger?t=a25xjc&amp;q=XNYS%3aWM&amp;form=skydnc</v>
    <v>Learn more on Bing</v>
  </rv>
  <rv s="1">
    <v>en-US</v>
    <v>a25xjc</v>
    <v>268435456</v>
    <v>1</v>
    <v>Powered by Refinitiv</v>
    <v>0</v>
    <v>WASTE MANAGEMENT, INC. (XNYS:WM)</v>
    <v>2</v>
    <v>3</v>
    <v>Finance</v>
    <v>4</v>
    <v>175.98</v>
    <v>138.58000000000001</v>
    <v>0.73180000000000001</v>
    <v>-2.0649999999999999</v>
    <v>-1.2964999999999999E-2</v>
    <v>USD</v>
    <v>Waste Management, Inc. (WM) is a holding company. It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Its customers include residential, commercial, industrial, and municipal customers throughout North America. Its Solid Waste two operating segments: East Tier and West Tier. The East Tier primarily consists of geographic areas located in the Eastern United States, the Great Lakes region and substantially all of Canada. The West Tier primarily includes geographic areas located in the Western United States, including the upper Midwest region, and British Columbia, Canada. It also offers construction and remediation services, services associated with the disposal of fly ash and in-plant services.</v>
    <v>48500</v>
    <v>New York Stock Exchange</v>
    <v>XNYS</v>
    <v>XNYS</v>
    <v>800 Capitol Street, Ste 3000, HOUSTON, TX, 77002 US</v>
    <v>159.09</v>
    <v>Professional &amp; Commercial Services</v>
    <v>Stock</v>
    <v>44917.737101654689</v>
    <v>395</v>
    <v>157.16</v>
    <v>64529052505</v>
    <v>WASTE MANAGEMENT, INC.</v>
    <v>WASTE MANAGEMENT, INC.</v>
    <v>158.44999999999999</v>
    <v>29.590900000000001</v>
    <v>159.27000000000001</v>
    <v>157.20500000000001</v>
    <v>410477100</v>
    <v>WM</v>
    <v>WASTE MANAGEMENT, INC. (XNYS:WM)</v>
    <v>507634</v>
    <v>1705114</v>
    <v>1995</v>
  </rv>
  <rv s="2">
    <v>396</v>
  </rv>
  <rv s="0">
    <v>https://www.bing.com/financeapi/forcetrigger?t=a1pcf2&amp;q=XNYS%3aCCI&amp;form=skydnc</v>
    <v>Learn more on Bing</v>
  </rv>
  <rv s="1">
    <v>en-US</v>
    <v>a1pcf2</v>
    <v>268435456</v>
    <v>1</v>
    <v>Powered by Refinitiv</v>
    <v>0</v>
    <v>CROWN CASTLE INC. (XNYS:CCI)</v>
    <v>2</v>
    <v>3</v>
    <v>Finance</v>
    <v>4</v>
    <v>209.86500000000001</v>
    <v>121.71</v>
    <v>0.62680000000000002</v>
    <v>-0.93</v>
    <v>-6.914E-3</v>
    <v>USD</v>
    <v>Crown Castle Inc., formerly Crown Castle International Corp., owns, operates and leases shared communications infrastructure. Its segments include Towers and Fiber. The Towers segment provides access, including space or capacity, to its towers, which are geographically dispersed throughout the United States. The Towers segment also reflects certain ancillary services relating to the Company's towers, predominately consisting of site development services and installation services. The Fiber segment provides access, including space or capacity, to its fiber primarily supporting small cell networks and fiber solutions geographically dispersed throughout the United States. Its business is providing access, including space or capacity, to its shared communications infrastructure via long-term contracts in various forms. It has approximately 40,000 towers and other structures, such as rooftops, and 80,000 route miles of fiber, primarily supporting small cell networks and fiber solutions.</v>
    <v>5000</v>
    <v>New York Stock Exchange</v>
    <v>XNYS</v>
    <v>XNYS</v>
    <v>8020 Katy Freeway, HOUSTON, TX, 77024 US</v>
    <v>136.065</v>
    <v>Residential &amp; Commercial REIT</v>
    <v>Stock</v>
    <v>44917.737070346877</v>
    <v>398</v>
    <v>133.55000000000001</v>
    <v>57842221360</v>
    <v>CROWN CASTLE INC.</v>
    <v>CROWN CASTLE INC.</v>
    <v>133.91</v>
    <v>36.166600000000003</v>
    <v>134.5</v>
    <v>133.57</v>
    <v>433048000</v>
    <v>CCI</v>
    <v>CROWN CASTLE INC. (XNYS:CCI)</v>
    <v>637603</v>
    <v>2396960</v>
    <v>2014</v>
  </rv>
  <rv s="2">
    <v>399</v>
  </rv>
  <rv s="0">
    <v>https://www.bing.com/financeapi/forcetrigger?t=a251gh&amp;q=XNYS%3aUSB&amp;form=skydnc</v>
    <v>Learn more on Bing</v>
  </rv>
  <rv s="1">
    <v>en-US</v>
    <v>a251gh</v>
    <v>268435456</v>
    <v>1</v>
    <v>Powered by Refinitiv</v>
    <v>0</v>
    <v>U.S. BANCORP (XNYS:USB)</v>
    <v>2</v>
    <v>3</v>
    <v>Finance</v>
    <v>4</v>
    <v>63.57</v>
    <v>38.39</v>
    <v>0.98850000000000005</v>
    <v>-0.28000000000000003</v>
    <v>-6.5559999999999993E-3</v>
    <v>USD</v>
    <v>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lines of business are corporate and commercial banking, consumer and business banking, wealth management and investment services, payment services, and treasury and corporate support.</v>
    <v>68796</v>
    <v>New York Stock Exchange</v>
    <v>XNYS</v>
    <v>XNYS</v>
    <v>800 Nicollet Mall, MINNEAPOLIS, MN, 55402-7000 US</v>
    <v>42.645000000000003</v>
    <v>Banking Services</v>
    <v>Stock</v>
    <v>44917.737062071094</v>
    <v>401</v>
    <v>42.252899999999997</v>
    <v>64928168060</v>
    <v>U.S. BANCORP</v>
    <v>U.S. BANCORP</v>
    <v>42.51</v>
    <v>10.177099999999999</v>
    <v>42.71</v>
    <v>42.43</v>
    <v>1530242000</v>
    <v>USB</v>
    <v>U.S. BANCORP (XNYS:USB)</v>
    <v>4422833</v>
    <v>9809163</v>
    <v>1929</v>
  </rv>
  <rv s="2">
    <v>402</v>
  </rv>
  <rv s="0">
    <v>https://www.bing.com/financeapi/forcetrigger?t=a1yq5r&amp;q=XNYS%3aNSC&amp;form=skydnc</v>
    <v>Learn more on Bing</v>
  </rv>
  <rv s="1">
    <v>en-US</v>
    <v>a1yq5r</v>
    <v>268435456</v>
    <v>1</v>
    <v>Powered by Refinitiv</v>
    <v>0</v>
    <v>NORFOLK SOUTHERN CORPORATION (XNYS:NSC)</v>
    <v>2</v>
    <v>3</v>
    <v>Finance</v>
    <v>4</v>
    <v>299.19499999999999</v>
    <v>203.65</v>
    <v>1.3228</v>
    <v>-3.21</v>
    <v>-1.3011999999999999E-2</v>
    <v>USD</v>
    <v>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v>
    <v>18100</v>
    <v>New York Stock Exchange</v>
    <v>XNYS</v>
    <v>XNYS</v>
    <v>650 W Peachtree Street Nw, ATLANTA, GA, 30308 US</v>
    <v>245.59</v>
    <v>Freight &amp; Logistics Services</v>
    <v>Stock</v>
    <v>44917.737144594532</v>
    <v>404</v>
    <v>243.12</v>
    <v>56371392558</v>
    <v>NORFOLK SOUTHERN CORPORATION</v>
    <v>NORFOLK SOUTHERN CORPORATION</v>
    <v>245.59</v>
    <v>18.154800000000002</v>
    <v>246.7</v>
    <v>243.49</v>
    <v>231514200</v>
    <v>NSC</v>
    <v>NORFOLK SOUTHERN CORPORATION (XNYS:NSC)</v>
    <v>313004</v>
    <v>1215250</v>
    <v>2009</v>
  </rv>
  <rv s="2">
    <v>405</v>
  </rv>
  <rv s="0">
    <v>https://www.bing.com/financeapi/forcetrigger?t=a1ry3m&amp;q=XNYS%3aEMR&amp;form=skydnc</v>
    <v>Learn more on Bing</v>
  </rv>
  <rv s="1">
    <v>en-US</v>
    <v>a1ry3m</v>
    <v>268435456</v>
    <v>1</v>
    <v>Powered by Refinitiv</v>
    <v>0</v>
    <v>EMERSON ELECTRIC CO. (XNYS:EMR)</v>
    <v>2</v>
    <v>3</v>
    <v>Finance</v>
    <v>4</v>
    <v>100</v>
    <v>72.405000000000001</v>
    <v>1.4126000000000001</v>
    <v>-2.61</v>
    <v>-2.6968000000000002E-2</v>
    <v>USD</v>
    <v>Emerson Electric Co. designs and manufactures products and delivers services that bring technology and engineering together to provide solutions for customers in a range of industrial, commercial and consumer markets around the world. The Company's segments include Automation Solutions; and Climate Technologies and Tools &amp; Home Products, which together comprise the Commercial &amp; Residential Solutions business. The Automation Solutions segment offers products and integrated solutions, including measurement and analytical instrumentation, industrial valves and equipment, and process control software and systems. The Commercial &amp; Residential Solutions business provides products and solutions that promote energy efficiency and sustainability, enhance household and commercial comfort, and protect food quality and sustainability through heating, air conditioning and refrigeration technology, as well as a range of tools and appliance solutions. It serves in a variety of different end markets.</v>
    <v>85500</v>
    <v>New York Stock Exchange</v>
    <v>XNYS</v>
    <v>XNYS</v>
    <v>Po Box 4100, 8000 W Florissant Ave, ST. LOUIS, MO, 63136-8506 US</v>
    <v>96.72</v>
    <v>Machinery, Equipment &amp; Components</v>
    <v>Stock</v>
    <v>44917.737105960157</v>
    <v>407</v>
    <v>94.09</v>
    <v>55692138000</v>
    <v>EMERSON ELECTRIC CO.</v>
    <v>EMERSON ELECTRIC CO.</v>
    <v>96.28</v>
    <v>17.8643</v>
    <v>96.78</v>
    <v>94.17</v>
    <v>591400000</v>
    <v>EMR</v>
    <v>EMERSON ELECTRIC CO. (XNYS:EMR)</v>
    <v>1526471</v>
    <v>3425542</v>
    <v>1890</v>
  </rv>
  <rv s="2">
    <v>408</v>
  </rv>
  <rv s="0">
    <v>https://www.bing.com/financeapi/forcetrigger?t=a1v8ar&amp;q=XNYS%3aICE&amp;form=skydnc</v>
    <v>Learn more on Bing</v>
  </rv>
  <rv s="1">
    <v>en-US</v>
    <v>a1v8ar</v>
    <v>268435456</v>
    <v>1</v>
    <v>Powered by Refinitiv</v>
    <v>0</v>
    <v>INTERCONTINENTAL EXCHANGE, INC. (XNYS:ICE)</v>
    <v>2</v>
    <v>3</v>
    <v>Finance</v>
    <v>4</v>
    <v>138.46</v>
    <v>88.6</v>
    <v>0.92120000000000002</v>
    <v>-1.425</v>
    <v>-1.3895999999999999E-2</v>
    <v>USD</v>
    <v>Intercontinental Exchange, Inc. is a provider of market infrastructure, data services and technology solutions to a range of customers, including financial institutions, corporations and government entities. The Company's segments include Exchanges, Fixed Income and Data Services and Mortgage Technology. The Exchanges segment operates regulated marketplaces for the listing, trading and clearing of a broad array of derivatives contracts and financial securities. The Fixed Income and Data Services segment provides fixed income pricing, reference data, indices, analytics and execution services, as well as global credit default swaps, or CDS, clearing and multi-asset class data delivery solutions. The Mortgage Technology segment includes origination technology, closing solutions, data and analytics, and other mortgage technology businesses. Its technology solutions support its customers workflows, such as trading and clearing technology and multi-asset class analytics, among others.</v>
    <v>8935</v>
    <v>New York Stock Exchange</v>
    <v>XNYS</v>
    <v>XNYS</v>
    <v>SUITE 500, 2100 RIVEREDGE PARKWAY, ATLANTA, GA, 30328 US</v>
    <v>102.1399</v>
    <v>Investment Banking &amp; Investment Services</v>
    <v>Stock</v>
    <v>44917.737005289062</v>
    <v>410</v>
    <v>101.02</v>
    <v>56483530550</v>
    <v>INTERCONTINENTAL EXCHANGE, INC.</v>
    <v>INTERCONTINENTAL EXCHANGE, INC.</v>
    <v>101.1</v>
    <v>22.706499999999998</v>
    <v>102.55</v>
    <v>101.125</v>
    <v>558551600</v>
    <v>ICE</v>
    <v>INTERCONTINENTAL EXCHANGE, INC. (XNYS:ICE)</v>
    <v>694412</v>
    <v>2146565</v>
    <v>2013</v>
  </rv>
  <rv s="2">
    <v>411</v>
  </rv>
  <rv s="0">
    <v>https://www.bing.com/financeapi/forcetrigger?t=a22xk2&amp;q=XNYS%3aSHW&amp;form=skydnc</v>
    <v>Learn more on Bing</v>
  </rv>
  <rv s="1">
    <v>en-US</v>
    <v>a22xk2</v>
    <v>268435456</v>
    <v>1</v>
    <v>Powered by Refinitiv</v>
    <v>0</v>
    <v>THE SHERWIN-WILLIAMS COMPANY (XNYS:SHW)</v>
    <v>2</v>
    <v>3</v>
    <v>Finance</v>
    <v>4</v>
    <v>354.15</v>
    <v>195.24</v>
    <v>1.0731999999999999</v>
    <v>-2.65</v>
    <v>-1.0941000000000001E-2</v>
    <v>USD</v>
    <v>The Sherwin-Williams Company is engaged in the development, manufacture, distribution and sale of paint, coatings and related products. The Company's Americas Group segment sells a range of architectural paints, coatings and related products through dealers, home centers, distributors, hardware stores and other retailers throughout Latin America. The Consumer Brands Group segment supplies a portfolio of branded and private-label architectural paint, stains, varnishes, industrial products, wood finishes products, wood preservatives, applicators, corrosion inhibitors, aerosols, caulks and adhesives to retailers and distributors throughout North America, as well as in China and Europe. The Performance Coatings Group segment develops and sells industrial coatings for wood finishing and general industrial (metal and plastic) applications, automotive refinish, protective and marine coatings, coil coatings, packaging coatings, and performance-based resins and colorants.</v>
    <v>61626</v>
    <v>New York Stock Exchange</v>
    <v>XNYS</v>
    <v>XNYS</v>
    <v>101 West Prospect Avenue, CLEVELAND, OH, 44115-1075 US</v>
    <v>241.08</v>
    <v>Chemicals</v>
    <v>Stock</v>
    <v>44917.737116527343</v>
    <v>413</v>
    <v>237.92</v>
    <v>62080392904</v>
    <v>THE SHERWIN-WILLIAMS COMPANY</v>
    <v>THE SHERWIN-WILLIAMS COMPANY</v>
    <v>240.23</v>
    <v>32.767699999999998</v>
    <v>242.21</v>
    <v>239.56</v>
    <v>259143400</v>
    <v>SHW</v>
    <v>THE SHERWIN-WILLIAMS COMPANY (XNYS:SHW)</v>
    <v>375143</v>
    <v>1389140</v>
    <v>1884</v>
  </rv>
  <rv s="2">
    <v>414</v>
  </rv>
  <rv s="0">
    <v>https://www.bing.com/financeapi/forcetrigger?t=a1ruc7&amp;q=XNYS%3aEL&amp;form=skydnc</v>
    <v>Learn more on Bing</v>
  </rv>
  <rv s="1">
    <v>en-US</v>
    <v>a1ruc7</v>
    <v>268435456</v>
    <v>1</v>
    <v>Powered by Refinitiv</v>
    <v>0</v>
    <v>THE ESTEE LAUDER COMPANIES INC. (XNYS:EL)</v>
    <v>2</v>
    <v>3</v>
    <v>Finance</v>
    <v>4</v>
    <v>374.2</v>
    <v>186.47</v>
    <v>0.95779999999999998</v>
    <v>-4.22</v>
    <v>-1.7304E-2</v>
    <v>USD</v>
    <v>The Estee Lauder Companies Inc. manufacturers, markets and sells skin care, makeup, fragrance and hair care products. The Company operates through the beauty products segment. Its product categories include skin care, makeup, fragrance, hair care and other. The Company's products are sold in approximately 150 countries and territories under a number of brand names, including Estee Lauder, Aramis, Clinique, Lab Series, Origins, M.A.C, Bobbi Brown, La Mer, Aveda, Jo Malone London, Bumble and bumble, Darphin, Smashbox, Le Labo, Editions de Parfums Frederic Malle, GLAMGLOW, Kilian Paris, Too Faced, Dr.Jart+, DECIEM and The Ordinary. It also offers fragrances, cosmetics and/or related products under brand names, Tom Ford, Dr. Andrew Weil, and AERIN. Its skin care products include moisturizers, serums, cleansers, toners, exfoliators, acne and oil correctors, facial masks, and sun care products. Its makeup products include lipsticks, lip glosses, mascaras, foundations and others.</v>
    <v>63000</v>
    <v>New York Stock Exchange</v>
    <v>XNYS</v>
    <v>XNYS</v>
    <v>767 5th Ave, NEW YORK, NY, 10153 US</v>
    <v>241.92</v>
    <v>Personal &amp; Household Products &amp; Services</v>
    <v>Stock</v>
    <v>44917.737053564066</v>
    <v>416</v>
    <v>238.655</v>
    <v>85510067695</v>
    <v>THE ESTEE LAUDER COMPANIES INC.</v>
    <v>THE ESTEE LAUDER COMPANIES INC.</v>
    <v>240.82</v>
    <v>40.6389</v>
    <v>243.87</v>
    <v>239.65</v>
    <v>356812300</v>
    <v>EL</v>
    <v>THE ESTEE LAUDER COMPANIES INC. (XNYS:EL)</v>
    <v>436287</v>
    <v>1880399</v>
    <v>1976</v>
  </rv>
  <rv s="2">
    <v>417</v>
  </rv>
  <rv s="0">
    <v>https://www.bing.com/financeapi/forcetrigger?t=a1wjkr&amp;q=XNAS%3aKLAC&amp;form=skydnc</v>
    <v>Learn more on Bing</v>
  </rv>
  <rv s="1">
    <v>en-US</v>
    <v>a1wjkr</v>
    <v>268435456</v>
    <v>1</v>
    <v>Powered by Refinitiv</v>
    <v>0</v>
    <v>KLA Corporation (XNAS:KLAC)</v>
    <v>2</v>
    <v>3</v>
    <v>Finance</v>
    <v>4</v>
    <v>457.12</v>
    <v>250.2</v>
    <v>1.3516999999999999</v>
    <v>-28.835000000000001</v>
    <v>-7.2673000000000001E-2</v>
    <v>USD</v>
    <v>KLA Corporation (KLA) is a supplier of process control and yield management solutions and services for the semiconductor and related electronics industries. The Company offers a portfolio of device manufacturing, inspection and metrology products and related service, software and other offerings support research and development (R&amp;D) and manufacturing of integrated circuits (IC), wafers and reticles. It also offers technologically advanced, yield-enhancing and process-enabling solutions to address various manufacturing stages of Printed Circuit Boards (PCB), Flat Panel Displays (FPD), Specialty Semiconductor Devices (SD) and other electronic components. Its segment includes Semiconductor Process Control; Specialty Semiconductor Process; PCB, Display and Component Inspection, and Other. The Semiconductor Process Control segment provides a portfolio of inspection, metrology and data analytics products as well as related service offerings.</v>
    <v>14000</v>
    <v>Nasdaq Stock Market</v>
    <v>XNAS</v>
    <v>XNAS</v>
    <v>1 Technology Dr, MILPITAS, CA, 95035-7916 US</v>
    <v>386.26</v>
    <v>Semiconductors &amp; Semiconductor Equipment</v>
    <v>Stock</v>
    <v>44917.737126250002</v>
    <v>419</v>
    <v>367.76</v>
    <v>52144539893</v>
    <v>KLA Corporation</v>
    <v>KLA Corporation</v>
    <v>386.09</v>
    <v>17.923500000000001</v>
    <v>396.78</v>
    <v>367.94499999999999</v>
    <v>141718300</v>
    <v>KLAC</v>
    <v>KLA Corporation (XNAS:KLAC)</v>
    <v>622904</v>
    <v>1420794</v>
    <v>1975</v>
  </rv>
  <rv s="2">
    <v>420</v>
  </rv>
  <rv s="0">
    <v>https://www.bing.com/financeapi/forcetrigger?t=a1tppr&amp;q=XNYS%3aGD&amp;form=skydnc</v>
    <v>Learn more on Bing</v>
  </rv>
  <rv s="1">
    <v>en-US</v>
    <v>a1tppr</v>
    <v>268435456</v>
    <v>1</v>
    <v>Powered by Refinitiv</v>
    <v>0</v>
    <v>GENERAL DYNAMICS CORPORATION (XNYS:GD)</v>
    <v>2</v>
    <v>3</v>
    <v>Finance</v>
    <v>4</v>
    <v>256.86</v>
    <v>200.64510000000001</v>
    <v>0.87590000000000001</v>
    <v>-5.8650000000000002</v>
    <v>-2.3462999999999998E-2</v>
    <v>USD</v>
    <v>General Dynamics Corporation is a global aerospace and defense company. The Company offers a portfolio of products and services in business aviation; ship construction and repair; land combat vehicles, weapons systems and munitions, and technology products and services. The Company’s segments include Aerospace, Marine Systems, Combat Systems and Technologies. The Aerospace segment produces business jets and the standard bearer in aircraft repair, support and completion services. The Marine Systems segment designs and builds nuclear-powered submarines and offers in surface combatants and auxiliary ship design and construction for the United States Navy. The Combat Systems segment manufactures land combat solutions, including wheeled and tracked combat vehicles, weapons systems and munitions. The Technologies segment provides a spectrum of services, technologies and products to market that seeks solutions combining electronic hardware with specialized software.</v>
    <v>103100</v>
    <v>New York Stock Exchange</v>
    <v>XNYS</v>
    <v>XNYS</v>
    <v>11011 Sunset Hills Rd, RESTON, VA, 20190 US</v>
    <v>250</v>
    <v>Aerospace &amp; Defense</v>
    <v>Stock</v>
    <v>44917.737103726562</v>
    <v>422</v>
    <v>244.10499999999999</v>
    <v>67018783645</v>
    <v>GENERAL DYNAMICS CORPORATION</v>
    <v>GENERAL DYNAMICS CORPORATION</v>
    <v>248.99</v>
    <v>20.816700000000001</v>
    <v>249.97</v>
    <v>244.10499999999999</v>
    <v>274549000</v>
    <v>GD</v>
    <v>GENERAL DYNAMICS CORPORATION (XNYS:GD)</v>
    <v>182170</v>
    <v>911064</v>
    <v>1952</v>
  </rv>
  <rv s="2">
    <v>423</v>
  </rv>
  <rv s="0">
    <v>https://www.bing.com/financeapi/forcetrigger?t=a1y4oc&amp;q=XNAS%3aMU&amp;form=skydnc</v>
    <v>Learn more on Bing</v>
  </rv>
  <rv s="1">
    <v>en-US</v>
    <v>a1y4oc</v>
    <v>268435456</v>
    <v>1</v>
    <v>Powered by Refinitiv</v>
    <v>0</v>
    <v>MICRON TECHNOLOGY, INC. (XNAS:MU)</v>
    <v>2</v>
    <v>3</v>
    <v>Finance</v>
    <v>4</v>
    <v>98.45</v>
    <v>48.44</v>
    <v>1.2924</v>
    <v>-2.63</v>
    <v>-5.1376999999999999E-2</v>
    <v>USD</v>
    <v>Micron Technology, Inc. is a provider of memory and storage solutions. The Company's product portfolio includes dynamic random-access memory (DRAM), negative-AND (NAND), three-dimensional (3D) XPoint memory, and NOR, solid-state drives, graphics and high bandwidth memory (HBM), managed NAND and multichip packages. Its brands include Micron and Crucial. The Company's segments include Compute and Networking Business Unit (CNBU) includes memory products sold into client, cloud server, enterprise, graphics, and networking markets; Mobile Business Unit (MBU) includes memory and storage products sold into smartphone and other mobile-device markets; Storage Business Unit (SBU) includes solid state drives (SSDs) and component-level solutions sold into enterprise and cloud, client, and consumer storage markets and other discrete storage products; Embedded Business Unit (EBU) includes memory and storage products sold into automotive, industrial, and consumer markets.</v>
    <v>48000</v>
    <v>Nasdaq Stock Market</v>
    <v>XNAS</v>
    <v>XNAS</v>
    <v>PO BOX 6, 8000 S FEDERAL WAY, BOISE, ID, 83716-9632 US</v>
    <v>49.97</v>
    <v>Semiconductors &amp; Semiconductor Equipment</v>
    <v>Stock</v>
    <v>44917.737118286721</v>
    <v>425</v>
    <v>48.44</v>
    <v>52973764080</v>
    <v>MICRON TECHNOLOGY, INC.</v>
    <v>MICRON TECHNOLOGY, INC.</v>
    <v>49.5</v>
    <v>6.6191000000000004</v>
    <v>51.19</v>
    <v>48.56</v>
    <v>1090893000</v>
    <v>MU</v>
    <v>MICRON TECHNOLOGY, INC. (XNAS:MU)</v>
    <v>23622850</v>
    <v>15184811</v>
    <v>1984</v>
  </rv>
  <rv s="2">
    <v>426</v>
  </rv>
  <rv s="0">
    <v>https://www.bing.com/financeapi/forcetrigger?t=a1o8mw&amp;q=XNYS%3aTFC&amp;form=skydnc</v>
    <v>Learn more on Bing</v>
  </rv>
  <rv s="1">
    <v>en-US</v>
    <v>a1o8mw</v>
    <v>268435456</v>
    <v>1</v>
    <v>Powered by Refinitiv</v>
    <v>0</v>
    <v>Truist Financial Corporation (XNYS:TFC)</v>
    <v>2</v>
    <v>3</v>
    <v>Finance</v>
    <v>4</v>
    <v>68.95</v>
    <v>40.005000000000003</v>
    <v>1.0869</v>
    <v>-0.46</v>
    <v>-1.1017999999999998E-2</v>
    <v>USD</v>
    <v>Truist Financial Corporation is a financial services company. The Company operates through its commercial bank subsidiary, Truist Bank (the Bank). The Bank provides a range of banking and trust services for clients and its digital platform. The Company’s segments include Consumer Banking and Wealth, Corporate and Commercial Banking, and Insurance Holdings. It provides a range of banking services to commercial and consumer clients, which includes asset management, automobile lending, credit card lending, consumer finance, home equity lending, insurance, investment brokerage services, mobile/online banking, payment solutions, retail deposit products, small business lending and student lending. Its services also include commercial deposit and treasury services, commercial finance, commercial lending, floor plan lending, leasing, investment banking and capital markets services, Institutional trust services, leasing, insurance premium finance and supply chain financing.</v>
    <v>50283</v>
    <v>New York Stock Exchange</v>
    <v>XNYS</v>
    <v>XNYS</v>
    <v>214 N. Tryon St., CHARLOTTE, NC, 28202 US</v>
    <v>41.604999999999997</v>
    <v>Banking Services</v>
    <v>Stock</v>
    <v>44917.737128911722</v>
    <v>428</v>
    <v>41.14</v>
    <v>54782168140</v>
    <v>Truist Financial Corporation</v>
    <v>Truist Financial Corporation</v>
    <v>41.39</v>
    <v>9.5747</v>
    <v>41.75</v>
    <v>41.29</v>
    <v>1326766000</v>
    <v>TFC</v>
    <v>Truist Financial Corporation (XNYS:TFC)</v>
    <v>2614396</v>
    <v>8210050</v>
    <v>1968</v>
  </rv>
  <rv s="2">
    <v>429</v>
  </rv>
  <rv s="0">
    <v>https://www.bing.com/financeapi/forcetrigger?t=a1qyvh&amp;q=XNYS%3aDG&amp;form=skydnc</v>
    <v>Learn more on Bing</v>
  </rv>
  <rv s="1">
    <v>en-US</v>
    <v>a1qyvh</v>
    <v>268435456</v>
    <v>1</v>
    <v>Powered by Refinitiv</v>
    <v>0</v>
    <v>DOLLAR GENERAL CORPORATION (XNYS:DG)</v>
    <v>2</v>
    <v>3</v>
    <v>Finance</v>
    <v>4</v>
    <v>262.20499999999998</v>
    <v>183.25</v>
    <v>0.39200000000000002</v>
    <v>-1.415</v>
    <v>-5.7860000000000003E-3</v>
    <v>USD</v>
    <v>Dollar General Corporation is a discount retailer. The Company offers merchandise, including consumable items, seasonal items, home products and apparel. Its merchandise includes brands from manufacturers, as well as its own private brand selections with prices at discounts to brands. Its consumables category includes paper and cleaning products, packaged food, perishables, snacks, health and beauty, pet, and tobacco products. Its seasonal products include holiday items, toys, batteries, small electronics, greeting cards, stationery, prepaid phones and accessories, gardening supplies, hardware, automotive and home office supplies. Its home products include kitchen supplies, cookware, small appliances, light bulbs, storage containers, frames, candles, craft supplies and kitchen, bed and bath soft goods. Its apparel products include casual everyday apparel for infants, toddlers, girls, boys, women and men, as well as socks, underwear, disposable diapers, shoes and accessories.</v>
    <v>163000</v>
    <v>New York Stock Exchange</v>
    <v>XNYS</v>
    <v>XNYS</v>
    <v>100 Mission Ridge, GOODLETTSVILLE, TN, 37072-2171 US</v>
    <v>245.29</v>
    <v>Diversified Retail</v>
    <v>Stock</v>
    <v>44917.737079999999</v>
    <v>431</v>
    <v>242.35</v>
    <v>54356623250</v>
    <v>DOLLAR GENERAL CORPORATION</v>
    <v>DOLLAR GENERAL CORPORATION</v>
    <v>243.95</v>
    <v>23.768000000000001</v>
    <v>244.54</v>
    <v>243.125</v>
    <v>223574800</v>
    <v>DG</v>
    <v>DOLLAR GENERAL CORPORATION (XNYS:DG)</v>
    <v>768222</v>
    <v>2256482</v>
    <v>1998</v>
  </rv>
  <rv s="2">
    <v>432</v>
  </rv>
  <rv s="0">
    <v>https://www.bing.com/financeapi/forcetrigger?t=a1sp52&amp;q=XNYS%3aFCX&amp;form=skydnc</v>
    <v>Learn more on Bing</v>
  </rv>
  <rv s="1">
    <v>en-US</v>
    <v>a1sp52</v>
    <v>268435456</v>
    <v>1</v>
    <v>Powered by Refinitiv</v>
    <v>0</v>
    <v>FREEPORT-MCMORAN INC. (XNYS:FCX)</v>
    <v>2</v>
    <v>3</v>
    <v>Finance</v>
    <v>4</v>
    <v>51.99</v>
    <v>24.8</v>
    <v>1.9679</v>
    <v>-1.345</v>
    <v>-3.4980000000000004E-2</v>
    <v>USD</v>
    <v>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v>
    <v>24700</v>
    <v>New York Stock Exchange</v>
    <v>XNYS</v>
    <v>XNYS</v>
    <v>333 N Central Ave, PHOENIX, AZ, 85004 US</v>
    <v>38.06</v>
    <v>Metals &amp; Mining</v>
    <v>Stock</v>
    <v>44917.737105126565</v>
    <v>434</v>
    <v>37.020000000000003</v>
    <v>53035178334</v>
    <v>FREEPORT-MCMORAN INC.</v>
    <v>FREEPORT-MCMORAN INC.</v>
    <v>38.06</v>
    <v>14.5623</v>
    <v>38.450000000000003</v>
    <v>37.104999999999997</v>
    <v>1429327000</v>
    <v>FCX</v>
    <v>FREEPORT-MCMORAN INC. (XNYS:FCX)</v>
    <v>5545442</v>
    <v>12058685</v>
    <v>1987</v>
  </rv>
  <rv s="2">
    <v>435</v>
  </rv>
  <rv s="0">
    <v>https://www.bing.com/financeapi/forcetrigger?t=a1xe52&amp;q=XNYS%3aMCK&amp;form=skydnc</v>
    <v>Learn more on Bing</v>
  </rv>
  <rv s="1">
    <v>en-US</v>
    <v>a1xe52</v>
    <v>268435456</v>
    <v>1</v>
    <v>Powered by Refinitiv</v>
    <v>0</v>
    <v>MCKESSON CORPORATION (XNYS:MCK)</v>
    <v>2</v>
    <v>3</v>
    <v>Finance</v>
    <v>4</v>
    <v>401.78</v>
    <v>234.56</v>
    <v>0.62670000000000003</v>
    <v>2.4700000000000002</v>
    <v>6.4920000000000004E-3</v>
    <v>USD</v>
    <v>McKesson Corporation is a diversified healthcare services provider. The Company is focused on advancing health outcomes for patients everywhere. It operates its business through four segments: U.S. Pharmaceutical, Prescription Technology Solutions (RxTS), Medical-Surgical Solutions, and International. Its U.S. Pharmaceutical segment distributes branded, generic, specialty, biosimilar and over-the-counter (OTC) pharmaceutical drugs, and other healthcare-related products. Its Prescription Technology Solutions segment serves its biopharma and life sciences partners and patients. Its Medical-Surgical Solutions segment provides medical-surgical supply distribution, logistics, and other services to healthcare providers, including physician offices, surgery centers, nursing homes, hospital reference labs, and home health care agencies. Its International segment provides distribution and services to wholesale, institutional, and retail customers in 11 European countries and Canada.</v>
    <v>58000</v>
    <v>New York Stock Exchange</v>
    <v>XNYS</v>
    <v>XNYS</v>
    <v>6555 State Highway 161, IRVING, TX, 75039 US</v>
    <v>386.43</v>
    <v>Pharmaceuticals</v>
    <v>Stock</v>
    <v>44917.737112418748</v>
    <v>437</v>
    <v>379.2124</v>
    <v>54376060000</v>
    <v>MCKESSON CORPORATION</v>
    <v>MCKESSON CORPORATION</v>
    <v>379.96</v>
    <v>26.8782</v>
    <v>380.46</v>
    <v>382.93</v>
    <v>142000000</v>
    <v>MCK</v>
    <v>MCKESSON CORPORATION (XNYS:MCK)</v>
    <v>323180</v>
    <v>1133417</v>
    <v>1994</v>
  </rv>
  <rv s="2">
    <v>438</v>
  </rv>
  <rv s="0">
    <v>https://www.bing.com/financeapi/forcetrigger?t=a1nxoc&amp;q=XNAS%3aATVI&amp;form=skydnc</v>
    <v>Learn more on Bing</v>
  </rv>
  <rv s="1">
    <v>en-US</v>
    <v>a1nxoc</v>
    <v>268435456</v>
    <v>1</v>
    <v>Powered by Refinitiv</v>
    <v>0</v>
    <v>ACTIVISION BLIZZARD, INC. (XNAS:ATVI)</v>
    <v>2</v>
    <v>3</v>
    <v>Finance</v>
    <v>4</v>
    <v>86.9</v>
    <v>61.99</v>
    <v>0.47649999999999998</v>
    <v>-0.3</v>
    <v>-3.9529999999999999E-3</v>
    <v>USD</v>
    <v>Activision Blizzard, Inc. is a developer and publisher of interactive entertainment content and services. It develops and distributes content and services on video game consoles, personal computers, and mobile devices. It operates e-sports leagues and offers digital advertising within some of its content. Its segments include Activision Publishing, Inc. (Activision), Blizzard Entertainment, Inc. (Blizzard), King Digital Entertainment (King), and Other. Activision delivers content through both premium and free-to-play offerings. It also includes the activities of the Call of Duty League, a global professional esports league with city-based teams. Blizzard develops and publishes entertainment software for creating games. It maintains an online gaming service, Blizzard Battle.net, which facilitates the digital distribution of Blizzard content and selected Activision content. King delivers content on the mobile platform. Kings’ product franchise is Candy Crush, a match three franchise.</v>
    <v>9800</v>
    <v>Nasdaq Stock Market</v>
    <v>XNAS</v>
    <v>XNAS</v>
    <v>2701 Olympic Boulevard, Building B, SANTA MONICA, CA, 90404 US</v>
    <v>75.87</v>
    <v>Software &amp; IT Services</v>
    <v>Stock</v>
    <v>44917.737049536721</v>
    <v>440</v>
    <v>75.545000000000002</v>
    <v>59158646427</v>
    <v>ACTIVISION BLIZZARD, INC.</v>
    <v>ACTIVISION BLIZZARD, INC.</v>
    <v>75.62</v>
    <v>35.652700000000003</v>
    <v>75.89</v>
    <v>75.59</v>
    <v>782625300</v>
    <v>ATVI</v>
    <v>ACTIVISION BLIZZARD, INC. (XNAS:ATVI)</v>
    <v>939156</v>
    <v>7670271</v>
    <v>2000</v>
  </rv>
  <rv s="2">
    <v>441</v>
  </rv>
  <rv s="0">
    <v>https://www.bing.com/financeapi/forcetrigger?t=a1xvzr&amp;q=XNYS%3aMPC&amp;form=skydnc</v>
    <v>Learn more on Bing</v>
  </rv>
  <rv s="1">
    <v>en-US</v>
    <v>a1xvzr</v>
    <v>268435456</v>
    <v>1</v>
    <v>Powered by Refinitiv</v>
    <v>0</v>
    <v>MARATHON PETROLEUM CORPORATION (XNYS:MPC)</v>
    <v>2</v>
    <v>3</v>
    <v>Finance</v>
    <v>4</v>
    <v>127.62</v>
    <v>62.17</v>
    <v>1.5954999999999999</v>
    <v>-3.51</v>
    <v>-3.0641999999999999E-2</v>
    <v>USD</v>
    <v>Marathon Petroleum Corporation is a downstream energy company engaged in the petroleum product refining, marketing, retail and midstream business in the United States. The Company operates through two segments: Refining &amp; Marketing and Midstream transport. The Refining &amp; Marketing segment refines crude oil and other feedstocks, including renewable feedstocks, at the Company’s refineries in the Gulf Coast, Mid-Continent and West Coast regions of the United States. The Company sells refined products to wholesale marketing customers domestically and internationally, under Marathon and ARCO brands.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v>
    <v>17700</v>
    <v>New York Stock Exchange</v>
    <v>XNYS</v>
    <v>XNYS</v>
    <v>539 S Main St, FINDLAY, OH, 45840-3229 US</v>
    <v>114.73</v>
    <v>Oil &amp; Gas</v>
    <v>Stock</v>
    <v>44917.737073981247</v>
    <v>443</v>
    <v>111</v>
    <v>52040095232</v>
    <v>MARATHON PETROLEUM CORPORATION</v>
    <v>MARATHON PETROLEUM CORPORATION</v>
    <v>114.6</v>
    <v>5.0278</v>
    <v>114.55</v>
    <v>111.04</v>
    <v>468660800</v>
    <v>MPC</v>
    <v>MARATHON PETROLEUM CORPORATION (XNYS:MPC)</v>
    <v>999877</v>
    <v>4571174</v>
    <v>2009</v>
  </rv>
  <rv s="2">
    <v>444</v>
  </rv>
  <rv s="0">
    <v>https://www.bing.com/financeapi/forcetrigger?t=a21gsm&amp;q=XNYS%3aPXD&amp;form=skydnc</v>
    <v>Learn more on Bing</v>
  </rv>
  <rv s="1">
    <v>en-US</v>
    <v>a21gsm</v>
    <v>268435456</v>
    <v>1</v>
    <v>Powered by Refinitiv</v>
    <v>0</v>
    <v>PIONEER NATURAL RESOURCES COMPANY (XNYS:PXD)</v>
    <v>2</v>
    <v>3</v>
    <v>Finance</v>
    <v>4</v>
    <v>288.45999999999998</v>
    <v>175.8</v>
    <v>1.4522999999999999</v>
    <v>-5.4550000000000001</v>
    <v>-2.4184000000000001E-2</v>
    <v>USD</v>
    <v>Pioneer Natural Resources Company is an oil and gas exploration and production company. The Company explores for, develops and produces oil, natural gas liquids (NGLs) and gas in the Midland Basin in West Texas. The Company conducts exploitation and exploration activities in the Spraberry/Wolfcamp oil field located in the Midland Basin in West Texas. The Company holds approximately 976,000 gross acres, of which 961,000 gross acres are located in the Spraberry/Wolfcamp field in the Midland Basin of West Texas. The oil produced from the Spraberry/Wolfcamp field in the Midland Basin is West Texas Intermediate Sweet, and the gas produced is casinghead gas with an average energy content of 1,400 British thermal unit (Btu). The oil and gas are produced primarily from six formations, the Spraberry, the Jo Mill, the Dean, the Wolfcamp, the Strawn and the Atoka. Its subsidiaries include Pioneer Natural Resources USA, Inc., Pioneer Sands LLC and Pioneer Uravan, Inc., among others.</v>
    <v>1932</v>
    <v>New York Stock Exchange</v>
    <v>XNYS</v>
    <v>XNYS</v>
    <v>777 Hidden Ridge, IRVING, TX, 75038 US</v>
    <v>226.51</v>
    <v>Oil &amp; Gas</v>
    <v>Stock</v>
    <v>44917.737098830468</v>
    <v>446</v>
    <v>219.91</v>
    <v>52296661863</v>
    <v>PIONEER NATURAL RESOURCES COMPANY</v>
    <v>PIONEER NATURAL RESOURCES COMPANY</v>
    <v>226.51</v>
    <v>8.0475999999999992</v>
    <v>225.56</v>
    <v>220.10499999999999</v>
    <v>237598700</v>
    <v>PXD</v>
    <v>PIONEER NATURAL RESOURCES COMPANY (XNYS:PXD)</v>
    <v>610292</v>
    <v>2361311</v>
    <v>1997</v>
  </rv>
  <rv s="2">
    <v>447</v>
  </rv>
  <rv s="0">
    <v>https://www.bing.com/financeapi/forcetrigger?t=a1zbvh&amp;q=XNAS%3aORLY&amp;form=skydnc</v>
    <v>Learn more on Bing</v>
  </rv>
  <rv s="1">
    <v>en-US</v>
    <v>a1zbvh</v>
    <v>268435456</v>
    <v>1</v>
    <v>Powered by Refinitiv</v>
    <v>0</v>
    <v>O'Reilly Automotive, Inc. (XNAS:ORLY)</v>
    <v>2</v>
    <v>3</v>
    <v>Finance</v>
    <v>4</v>
    <v>870.92</v>
    <v>562.9</v>
    <v>0.96519999999999995</v>
    <v>-5.94</v>
    <v>-7.1260000000000004E-3</v>
    <v>USD</v>
    <v>O’Reilly Automotive, Inc. is a specialty retailer of automotive aftermarket parts, tools, supplies, equipment and accessories in the United States. The Company sells its products to both do-it-yourself (DIY) and professional service provider customers. Its product line includes new and remanufactured automotive hard parts and maintenance items, such as alternators, batteries, brake system components, belts, chassis parts, driveline parts, engine parts, fuel pumps, hoses, starters, temperature control, water pumps, antifreeze, appearance products, engine additives, filters, fluids, lighting, oil and wiper blades, and accessories, such as floor mats, seat covers and truck accessories. The Company's stores offer various services and programs to its customers, such as battery diagnostic testing; battery, wiper and bulb replacement; custom hydraulic hoses; drum and rotor resurfacing; electrical and module testing; loaner tool program, and used oil, oil filter and battery recycling.</v>
    <v>68679</v>
    <v>Nasdaq Stock Market</v>
    <v>XNAS</v>
    <v>XNAS</v>
    <v>233 S Patterson Ave, SPRINGFIELD, MO, 65802 US</v>
    <v>834.65</v>
    <v>Specialty Retailers</v>
    <v>Stock</v>
    <v>44917.736997453125</v>
    <v>449</v>
    <v>823.71</v>
    <v>51792829188</v>
    <v>O'Reilly Automotive, Inc.</v>
    <v>O'Reilly Automotive, Inc.</v>
    <v>834.65</v>
    <v>25.445699999999999</v>
    <v>833.62</v>
    <v>827.68</v>
    <v>62575910</v>
    <v>ORLY</v>
    <v>O'Reilly Automotive, Inc. (XNAS:ORLY)</v>
    <v>127703</v>
    <v>462823</v>
    <v>2010</v>
  </rv>
  <rv s="2">
    <v>450</v>
  </rv>
  <rv s="0">
    <v>https://www.bing.com/financeapi/forcetrigger?t=a1uhnm&amp;q=XNYS%3aHCA&amp;form=skydnc</v>
    <v>Learn more on Bing</v>
  </rv>
  <rv s="1">
    <v>en-US</v>
    <v>a1uhnm</v>
    <v>268435456</v>
    <v>1</v>
    <v>Powered by Refinitiv</v>
    <v>0</v>
    <v>HCA HEALTHCARE, INC. (XNYS:HCA)</v>
    <v>2</v>
    <v>3</v>
    <v>Finance</v>
    <v>4</v>
    <v>279.02</v>
    <v>164.47</v>
    <v>1.6666000000000001</v>
    <v>-5.5949999999999998</v>
    <v>-2.3033999999999999E-2</v>
    <v>USD</v>
    <v>HCA Healthcare, Inc. is a holding company. The Company, through its subsidiaries, owns and operates hospitals and related healthcare entities. It owns and operates approximately 182 hospitals, comprised of 175 general, acute care hospitals; five psychiatric hospitals; and two rehabilitation hospitals. The Company also operates around 125 freestanding surgery centers and over 21 freestanding endoscopy centers. The Company operates in two geographically organized groups: The National and American Groups. The National Group includes 96 hospitals located in Alaska, California, Florida, Georgia, Idaho, Indiana, northern Kentucky, Nevada, New Hampshire, North Carolina, South Carolina, Utah and Virginia. The American Group includes approximately 79 hospitals located in Colorado, Kansas, southern Kentucky, Louisiana, Missouri, Tennessee and Texas. The Company also operates seven hospitals in England. Its facilities are located in over 20 states and England.</v>
    <v>204000</v>
    <v>New York Stock Exchange</v>
    <v>XNYS</v>
    <v>XNYS</v>
    <v>1 Park Plz, NASHVILLE, TN, 37203-6527 US</v>
    <v>241.38</v>
    <v>Healthcare Providers &amp; Services</v>
    <v>Stock</v>
    <v>44917.737035312501</v>
    <v>452</v>
    <v>237.3</v>
    <v>67090086493</v>
    <v>HCA HEALTHCARE, INC.</v>
    <v>HCA HEALTHCARE, INC.</v>
    <v>240.56</v>
    <v>13.716200000000001</v>
    <v>242.9</v>
    <v>237.30500000000001</v>
    <v>282716700</v>
    <v>HCA</v>
    <v>HCA HEALTHCARE, INC. (XNYS:HCA)</v>
    <v>347992</v>
    <v>1189394</v>
    <v>2010</v>
  </rv>
  <rv s="2">
    <v>453</v>
  </rv>
  <rv s="0">
    <v>https://www.bing.com/financeapi/forcetrigger?t=a1mvm7&amp;q=XNYS%3aADM&amp;form=skydnc</v>
    <v>Learn more on Bing</v>
  </rv>
  <rv s="1">
    <v>en-US</v>
    <v>a1mvm7</v>
    <v>268435456</v>
    <v>1</v>
    <v>Powered by Refinitiv</v>
    <v>0</v>
    <v>ARCHER-DANIELS-MIDLAND COMPANY (XNYS:ADM)</v>
    <v>2</v>
    <v>3</v>
    <v>Finance</v>
    <v>4</v>
    <v>98.88</v>
    <v>64.400000000000006</v>
    <v>0.84470000000000001</v>
    <v>-1.44</v>
    <v>-1.5275E-2</v>
    <v>USD</v>
    <v>Archer-Daniels-Midland Company is an agricultural origination and processing company. The Company offers sustainable human and animal nutrition. It is engaged in developing sustainable solutions in agriculture, energy, and bio-based alternatives to materials and fuels produced from petroleum products. The Company operates under three business segments: Ag Services and Oilseeds, Carbohydrate Solutions, and Nutrition. The Ag Services and Oilseeds segment includes activities related to the origination, merchandising, transportation, and storage of agricultural raw materials, and the crushing and further processing of oilseeds into vegetable oils and protein meals. The Carbohydrate Solutions segment is engaged in corn and wheat wet and dry milling and other activities. The Nutrition segment serves various end markets, including food, beverages, nutritional supplements, and feed and premix for livestock, aquaculture, and pet food. It is also engaged in providing food and savoury products.</v>
    <v>41000</v>
    <v>New York Stock Exchange</v>
    <v>XNYS</v>
    <v>XNYS</v>
    <v>77 W. Wacker Dr., CHICAGO, IL, 60601 US</v>
    <v>94.26</v>
    <v>Food &amp; Tobacco</v>
    <v>Stock</v>
    <v>44917.737098008591</v>
    <v>455</v>
    <v>92.81</v>
    <v>50994693786</v>
    <v>ARCHER-DANIELS-MIDLAND COMPANY</v>
    <v>ARCHER-DANIELS-MIDLAND COMPANY</v>
    <v>94.12</v>
    <v>13.012499999999999</v>
    <v>94.27</v>
    <v>92.83</v>
    <v>549334200</v>
    <v>ADM</v>
    <v>ARCHER-DANIELS-MIDLAND COMPANY (XNYS:ADM)</v>
    <v>466608</v>
    <v>2743653</v>
    <v>1923</v>
  </rv>
  <rv s="2">
    <v>456</v>
  </rv>
  <rv s="0">
    <v>https://www.bing.com/financeapi/forcetrigger?t=a1tyrw&amp;q=XNYS%3aGM&amp;form=skydnc</v>
    <v>Learn more on Bing</v>
  </rv>
  <rv s="1">
    <v>en-US</v>
    <v>a1tyrw</v>
    <v>268435456</v>
    <v>1</v>
    <v>Powered by Refinitiv</v>
    <v>0</v>
    <v>GENERAL MOTORS COMPANY (XNYS:GM)</v>
    <v>2</v>
    <v>3</v>
    <v>Finance</v>
    <v>4</v>
    <v>67.209999999999994</v>
    <v>30.33</v>
    <v>1.3260000000000001</v>
    <v>-2.3199999999999998</v>
    <v>-6.4624000000000001E-2</v>
    <v>USD</v>
    <v>General Motors Company designs, builds and sells trucks, crossovers, cars and automobile parts and provides software-enabled services and subscriptions worldwide. The Company provides automotive financing services through its General Motors Financial Company, Inc. (GM Financial) segment. GM North America (GMNA) and GM International (GMI) develops, manufactures and/or markets vehicles under the Buick, Cadillac, Chevrolet and GMC brands. The Company's segments include GMNA, GMI, Cruise and GM Financial. Its Cruise segment is engaged in the development and commercialization of autonomous vehicle technology. It offers OnStar and connected services to approximately 22 million connected vehicles globally through subscription-based and complimentary services. It is also developing hydrogen fuel cell applications across transportation and industries, including mobile power generation, class seven/eight truck, locomotive, aerospace and marine applications.</v>
    <v>157000</v>
    <v>New York Stock Exchange</v>
    <v>XNYS</v>
    <v>XNYS</v>
    <v>300 Renaissance Center, DETROIT, MI, 48265-3000 US</v>
    <v>35.18</v>
    <v>Automobiles &amp; Auto Parts</v>
    <v>Stock</v>
    <v>44917.73712376094</v>
    <v>458</v>
    <v>33.51</v>
    <v>47707005260</v>
    <v>GENERAL MOTORS COMPANY</v>
    <v>GENERAL MOTORS COMPANY</v>
    <v>35.14</v>
    <v>6.0933000000000002</v>
    <v>35.9</v>
    <v>33.58</v>
    <v>1420697000</v>
    <v>GM</v>
    <v>GENERAL MOTORS COMPANY (XNYS:GM)</v>
    <v>8125851</v>
    <v>12843728</v>
    <v>2009</v>
  </rv>
  <rv s="2">
    <v>459</v>
  </rv>
  <rv s="0">
    <v>https://www.bing.com/financeapi/forcetrigger?t=a1tvzr&amp;q=XNYS%3aGIS&amp;form=skydnc</v>
    <v>Learn more on Bing</v>
  </rv>
  <rv s="1">
    <v>en-US</v>
    <v>a1tvzr</v>
    <v>268435456</v>
    <v>1</v>
    <v>Powered by Refinitiv</v>
    <v>0</v>
    <v>GENERAL MILLS, INC. (XNYS:GIS)</v>
    <v>2</v>
    <v>3</v>
    <v>Finance</v>
    <v>4</v>
    <v>88.34</v>
    <v>61.67</v>
    <v>0.31690000000000002</v>
    <v>-0.43</v>
    <v>-5.0370000000000007E-3</v>
    <v>USD</v>
    <v>General Mills, Inc. is a global manufacturer and marketer of branded consumer foods. The Company operates through four segments: North America Retail, International, Pet, and North America Foodservice. The North America Retail segment reflects business with a variety of grocery stores, mass merchandisers, membership stores, natural food chains, drug, dollar and discount chains, convenience stores, and e-commerce grocery providers. The International segment reflects retail and foodservice businesses outside of the United States and Canada. The Pet segment includes pet food products sold primarily in the United States and Canada in national pet superstore chains, e-commerce retailers, grocery stores, regional pet store chains, mass merchandisers, and veterinary clinics and hospitals. The North America Foodservice segment offers products, such as ready-to-eat cereals, snacks, refrigerated yogurt, frozen meals, unbaked and fully baked frozen dough products, baking mixes, and bakery flour.</v>
    <v>32500</v>
    <v>New York Stock Exchange</v>
    <v>XNYS</v>
    <v>XNYS</v>
    <v>Number One General Mills Blvd, MINNEAPOLIS, MN, 55426 US</v>
    <v>85.48</v>
    <v>Food &amp; Tobacco</v>
    <v>Stock</v>
    <v>44917.737054953126</v>
    <v>461</v>
    <v>84.68</v>
    <v>50075636751</v>
    <v>GENERAL MILLS, INC.</v>
    <v>GENERAL MILLS, INC.</v>
    <v>85.32</v>
    <v>17.832000000000001</v>
    <v>85.36</v>
    <v>84.93</v>
    <v>589610700</v>
    <v>GIS</v>
    <v>GENERAL MILLS, INC. (XNYS:GIS)</v>
    <v>1221153</v>
    <v>4213579</v>
    <v>1928</v>
  </rv>
  <rv s="2">
    <v>462</v>
  </rv>
  <rv s="0">
    <v>https://www.bing.com/financeapi/forcetrigger?t=a239hw&amp;q=XNAS%3aSNPS&amp;form=skydnc</v>
    <v>Learn more on Bing</v>
  </rv>
  <rv s="1">
    <v>en-US</v>
    <v>a239hw</v>
    <v>268435456</v>
    <v>1</v>
    <v>Powered by Refinitiv</v>
    <v>0</v>
    <v>SYNOPSYS, INC. (XNAS:SNPS)</v>
    <v>2</v>
    <v>3</v>
    <v>Finance</v>
    <v>4</v>
    <v>391.17</v>
    <v>255.02</v>
    <v>1.1919</v>
    <v>-11.64</v>
    <v>-3.5249000000000003E-2</v>
    <v>USD</v>
    <v>Synopsys, Inc. provides products and services across the silicon to software spectrum. The Company operates through two segments: Semiconductor &amp; System Design and Software Integrity. The Semiconductor &amp; System Design segment includes its advanced silicon design, verification products and services, and semiconductor intellectual property (IP) portfolio that encompasses products and services that serve companies primarily in the semiconductor and electronics industries. This segment also supplies the electronic design automation (EDA) software that engineers use to design and test integrated circuits (ICs), also known as chips. The Software Integrity segment includes a portfolio of products and services to intelligently address software risks across the customer portfolio and at all stages of the application lifecycle. This segment offers software tools and services that include security and testing products. The Company also provides application security Software-as-a-Service (SaaS).</v>
    <v>19000</v>
    <v>Nasdaq Stock Market</v>
    <v>XNAS</v>
    <v>XNAS</v>
    <v>690 E Middlefield Rd, MOUNTAIN VIEW, CA, 94043 US</v>
    <v>325.8</v>
    <v>Software &amp; IT Services</v>
    <v>Stock</v>
    <v>44917.736870497654</v>
    <v>464</v>
    <v>318.52</v>
    <v>48557071576</v>
    <v>SYNOPSYS, INC.</v>
    <v>SYNOPSYS, INC.</v>
    <v>325.45999999999998</v>
    <v>52.473700000000001</v>
    <v>330.22</v>
    <v>318.58</v>
    <v>152417200</v>
    <v>SNPS</v>
    <v>SYNOPSYS, INC. (XNAS:SNPS)</v>
    <v>186314</v>
    <v>960949</v>
    <v>1987</v>
  </rv>
  <rv s="2">
    <v>465</v>
  </rv>
  <rv s="0">
    <v>https://www.bing.com/financeapi/forcetrigger?t=a1qpw7&amp;q=XNYS%3aD&amp;form=skydnc</v>
    <v>Learn more on Bing</v>
  </rv>
  <rv s="1">
    <v>en-US</v>
    <v>a1qpw7</v>
    <v>268435456</v>
    <v>1</v>
    <v>Powered by Refinitiv</v>
    <v>0</v>
    <v>Dominion Energy, Inc. (XNYS:D)</v>
    <v>2</v>
    <v>3</v>
    <v>Finance</v>
    <v>4</v>
    <v>88.78</v>
    <v>57.18</v>
    <v>0.43</v>
    <v>-0.42</v>
    <v>-6.9940000000000002E-3</v>
    <v>USD</v>
    <v>Dominion Energy, Inc. is a producer and distributor of energy. is focused on providing electricity, natural gas and related services to customers, primarily in the eastern and Rocky Mountain regions of the United States. The Company's segments include Dominion Energy Virginia, Gas Distribution, Dominion Energy South Carolina, and Contracted Assets. Its portfolio of assets includes approximately 30.2 gigawatt (GW) of electric generating capacity, 10,700 miles of electric transmission lines, 78,000 miles of electric distribution lines and 95,700 miles of gas distribution mains and related service facilities, which are supported by 6,000 miles of gas transmission, gathering and storage pipeline. It operates in around 13 states. The Company's operations are conducted through various subsidiaries, including Virginia Electric and Power Company (Virginia Power). Its operations also include Dominion Energy South Carolina, Inc. (DESC).</v>
    <v>17100</v>
    <v>New York Stock Exchange</v>
    <v>XNYS</v>
    <v>XNYS</v>
    <v>120 Tredegar St, RICHMOND, VA, 23219-4306 US</v>
    <v>60.06</v>
    <v>Electrical Utilities &amp; IPPs</v>
    <v>Stock</v>
    <v>44917.737105856249</v>
    <v>467</v>
    <v>59.58</v>
    <v>49688200176</v>
    <v>Dominion Energy, Inc.</v>
    <v>Dominion Energy, Inc.</v>
    <v>59.91</v>
    <v>28.395800000000001</v>
    <v>60.05</v>
    <v>59.63</v>
    <v>833275200</v>
    <v>D</v>
    <v>Dominion Energy, Inc. (XNYS:D)</v>
    <v>1308752</v>
    <v>6243475</v>
    <v>1983</v>
  </rv>
  <rv s="2">
    <v>468</v>
  </rv>
  <rv s="0">
    <v>https://www.bing.com/financeapi/forcetrigger?t=a21d27&amp;q=XNYS%3aPSX&amp;form=skydnc</v>
    <v>Learn more on Bing</v>
  </rv>
  <rv s="1">
    <v>en-US</v>
    <v>a21d27</v>
    <v>268435456</v>
    <v>1</v>
    <v>Powered by Refinitiv</v>
    <v>0</v>
    <v>PHILLIPS 66 (XNYS:PSX)</v>
    <v>2</v>
    <v>3</v>
    <v>Finance</v>
    <v>4</v>
    <v>113.53</v>
    <v>70.66</v>
    <v>1.417</v>
    <v>-3.02</v>
    <v>-2.9221E-2</v>
    <v>USD</v>
    <v>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operates in Olefins and Polyolefins (O&amp;P) and Specialties, Aromatics and Styrenics (SA&amp;S) business. The Refining segment refines crude oil and other feedstocks at refineries in the United States and Europe. The M&amp;S segment purchases for resale and markets refined petroleum products, such as base oils and lubricants.</v>
    <v>14000</v>
    <v>New York Stock Exchange</v>
    <v>XNYS</v>
    <v>XNYS</v>
    <v>2331 Citywest Blvd., HOUSTON, TX, 77042 US</v>
    <v>103.44</v>
    <v>Oil &amp; Gas</v>
    <v>Stock</v>
    <v>44917.737097985941</v>
    <v>470</v>
    <v>100.31</v>
    <v>47419188626</v>
    <v>PHILLIPS 66</v>
    <v>PHILLIPS 66</v>
    <v>103.41</v>
    <v>4.7298</v>
    <v>103.35</v>
    <v>100.33</v>
    <v>472632200</v>
    <v>PSX</v>
    <v>PHILLIPS 66 (XNYS:PSX)</v>
    <v>747506</v>
    <v>3161946</v>
    <v>2011</v>
  </rv>
  <rv s="2">
    <v>471</v>
  </rv>
  <rv s="0">
    <v>https://www.bing.com/financeapi/forcetrigger?t=a23jjc&amp;q=XNYS%3aSRE&amp;form=skydnc</v>
    <v>Learn more on Bing</v>
  </rv>
  <rv s="1">
    <v>en-US</v>
    <v>a23jjc</v>
    <v>268435456</v>
    <v>1</v>
    <v>Powered by Refinitiv</v>
    <v>0</v>
    <v>SEMPRA ENERGY (XNYS:SRE)</v>
    <v>2</v>
    <v>3</v>
    <v>Finance</v>
    <v>4</v>
    <v>176.47</v>
    <v>128</v>
    <v>0.69650000000000001</v>
    <v>-2.23</v>
    <v>-1.4227E-2</v>
    <v>USD</v>
    <v>Sempra Energy is a holding company with energy infrastructure investments in North America. The Company invests, develops and operates in energy infrastructure, and provides electric and gas services to customers through regulated public utilities. Its segments include San Diego Gas &amp; Electric Company (SDG&amp;E), Southern California Gas Company (SoCalGas), Sempra Texas Utilities and Sempra Infrastructure. Its SDG&amp;E segment provides electric service to San Diego and southern Orange counties and natural gas service to San Diego County. Its SoCalGas segment provides natural gas services throughout Southern California and some parts of central California. Its Sempra Texas Utilities segment provides electric transmission and distribution services in the north-central, eastern, western and panhandle regions of Texas. Its Sempra Infrastructure segment develops, builds, operates and invests in energy infrastructure to help enable the energy transition in North American markets and globally.</v>
    <v>15390</v>
    <v>New York Stock Exchange</v>
    <v>XNYS</v>
    <v>XNYS</v>
    <v>P O BOX 129400, 101 ASH STREET, SAN DIEGO, CA, 92101 US</v>
    <v>156.5</v>
    <v>Multiline Utilities</v>
    <v>Stock</v>
    <v>44917.736767580471</v>
    <v>473</v>
    <v>154.51</v>
    <v>48567653634</v>
    <v>SEMPRA ENERGY</v>
    <v>SEMPRA ENERGY</v>
    <v>156.41</v>
    <v>22.0001</v>
    <v>156.74</v>
    <v>154.51</v>
    <v>314333400</v>
    <v>SRE</v>
    <v>SEMPRA ENERGY (XNYS:SRE)</v>
    <v>247650</v>
    <v>1190788</v>
    <v>1996</v>
  </rv>
  <rv s="2">
    <v>474</v>
  </rv>
  <rv s="0">
    <v>https://www.bing.com/financeapi/forcetrigger?t=a1mybh&amp;q=XNAS%3aAEP&amp;form=skydnc</v>
    <v>Learn more on Bing</v>
  </rv>
  <rv s="1">
    <v>en-US</v>
    <v>a1mybh</v>
    <v>268435456</v>
    <v>1</v>
    <v>Powered by Refinitiv</v>
    <v>0</v>
    <v>AMERICAN ELECTRIC POWER COMPANY, INC. (XNAS:AEP)</v>
    <v>2</v>
    <v>3</v>
    <v>Finance</v>
    <v>4</v>
    <v>105.6</v>
    <v>80.3</v>
    <v>0.42199999999999999</v>
    <v>-1.91</v>
    <v>-2.0034E-2</v>
    <v>USD</v>
    <v>American Electric Power Company, Inc. (AEP) is an electric public utility holding company. The service areas of the Company's public utility subsidiaries cover the states of Arkansas, Indiana, Kentucky, Louisiana, Michigan, Ohio, Oklahoma, Tennessee, Texas, Virginia and West Virginia. The Company's segments include Vertically Integrated Utilities, Transmission and Distribution Utilities, AEP Transmission Holdco, and Generation &amp; Marketing. AEP's vertically integrated utility operations are engaged in the generation, transmission and distribution of electricity for sale to retail and wholesale customers. Transmission and Distribution Utilities segment consists of the transmission and distribution of electricity for sale to retail and wholesale customers. The AEP Transmission Holdco segment develops, constructs and operates transmission facilities. The Generation &amp; Marketing segment conducts marketing, risk management and retail activities.</v>
    <v>16688</v>
    <v>Nasdaq Stock Market</v>
    <v>XNAS</v>
    <v>XNAS</v>
    <v>1 Riverside Plz, COLUMBUS, OH, 43215-2355 US</v>
    <v>94.97</v>
    <v>Electrical Utilities &amp; IPPs</v>
    <v>Stock</v>
    <v>44917.737052580465</v>
    <v>476</v>
    <v>93.4</v>
    <v>48010285491</v>
    <v>AMERICAN ELECTRIC POWER COMPANY, INC.</v>
    <v>AMERICAN ELECTRIC POWER COMPANY, INC.</v>
    <v>94.95</v>
    <v>19.771100000000001</v>
    <v>95.34</v>
    <v>93.43</v>
    <v>513863700</v>
    <v>AEP</v>
    <v>AMERICAN ELECTRIC POWER COMPANY, INC. (XNAS:AEP)</v>
    <v>554554</v>
    <v>3501759</v>
    <v>1925</v>
  </rv>
  <rv s="2">
    <v>477</v>
  </rv>
  <rv s="0">
    <v>https://www.bing.com/financeapi/forcetrigger?t=a1xhvh&amp;q=XNYS%3aMET&amp;form=skydnc</v>
    <v>Learn more on Bing</v>
  </rv>
  <rv s="1">
    <v>en-US</v>
    <v>a1xhvh</v>
    <v>268435456</v>
    <v>1</v>
    <v>Powered by Refinitiv</v>
    <v>0</v>
    <v>METLIFE, INC. (XNYS:MET)</v>
    <v>2</v>
    <v>3</v>
    <v>Finance</v>
    <v>4</v>
    <v>77.36</v>
    <v>57.41</v>
    <v>1.0693999999999999</v>
    <v>-1.6</v>
    <v>-2.1965999999999999E-2</v>
    <v>USD</v>
    <v>MetLife, Inc. is a financial services company, which provides insurance, annuities, employee benefits, and asset management services. The Company's segments include U.S.; Asia; Latin America; Europe, the Middle East and Africa (EMEA); and MetLife Holdings. The U.S. segment is organized into two businesses, such as Group Benefits, and Retirement and Income Solutions (RIS). The Asia segment offers products, including life insurance; accident and health insurance, and retirement and savings products. The Latin America segment offers government employees life, medical insurance, as well as retirement and savings, and other products, and periodically submits bids to do so. The EMEA segment offers products, including life insurance, accident and health insurance, retirement and savings products, and credit insurance. The MetLife Holdings segment offers variable, universal, term and whole life insurance, variable, fixed and index-linked annuities, and long-term care insurance.</v>
    <v>43000</v>
    <v>New York Stock Exchange</v>
    <v>XNYS</v>
    <v>XNYS</v>
    <v>200 Park Avenue, NEW YORK, NY, 10166 US</v>
    <v>72.739999999999995</v>
    <v>Insurance</v>
    <v>Stock</v>
    <v>44917.737102742969</v>
    <v>479</v>
    <v>71.239999999999995</v>
    <v>55895345687</v>
    <v>METLIFE, INC.</v>
    <v>METLIFE, INC.</v>
    <v>72.655000000000001</v>
    <v>27.3675</v>
    <v>72.84</v>
    <v>71.239999999999995</v>
    <v>784606200</v>
    <v>MET</v>
    <v>METLIFE, INC. (XNYS:MET)</v>
    <v>988108</v>
    <v>3862311</v>
    <v>1999</v>
  </rv>
  <rv s="2">
    <v>480</v>
  </rv>
  <rv s="0">
    <v>https://www.bing.com/financeapi/forcetrigger?t=a25e77&amp;q=XNYS%3aVLO&amp;form=skydnc</v>
    <v>Learn more on Bing</v>
  </rv>
  <rv s="1">
    <v>en-US</v>
    <v>a25e77</v>
    <v>268435456</v>
    <v>1</v>
    <v>Powered by Refinitiv</v>
    <v>0</v>
    <v>VALERO ENERGY CORPORATION (XNYS:VLO)</v>
    <v>2</v>
    <v>3</v>
    <v>Finance</v>
    <v>4</v>
    <v>146.80500000000001</v>
    <v>70.5</v>
    <v>1.6362000000000001</v>
    <v>-2.9350000000000001</v>
    <v>-2.3923999999999997E-2</v>
    <v>USD</v>
    <v>Valero Energy Corporation (Valero) is an international manufacturer and marketer of petroleum-based and low-carbon liquid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Valero owns 15 petroleum refineries located in the United States (U.S.), Canada and the United Kingdom (U.K.). The Company is also a joint venture partner in Diamond Green Diesel (DGD), which owns and operates a renewable diesel plant located in the Gulf Coast region of the United States.</v>
    <v>9813</v>
    <v>New York Stock Exchange</v>
    <v>XNYS</v>
    <v>XNYS</v>
    <v>1 Valero Way, SAN ANTONIO, TX, 78249 US</v>
    <v>122.91</v>
    <v>Oil &amp; Gas</v>
    <v>Stock</v>
    <v>44917.737008471871</v>
    <v>482</v>
    <v>119.49</v>
    <v>46164487558</v>
    <v>VALERO ENERGY CORPORATION</v>
    <v>VALERO ENERGY CORPORATION</v>
    <v>122.56</v>
    <v>5.2305999999999999</v>
    <v>122.68</v>
    <v>119.745</v>
    <v>385523300</v>
    <v>VLO</v>
    <v>VALERO ENERGY CORPORATION (XNYS:VLO)</v>
    <v>977134</v>
    <v>4203159</v>
    <v>1981</v>
  </rv>
  <rv s="2">
    <v>483</v>
  </rv>
  <rv s="0">
    <v>https://www.bing.com/financeapi/forcetrigger?t=a1n6f2&amp;q=XNYS%3aAIG&amp;form=skydnc</v>
    <v>Learn more on Bing</v>
  </rv>
  <rv s="1">
    <v>en-US</v>
    <v>a1n6f2</v>
    <v>268435456</v>
    <v>1</v>
    <v>Powered by Refinitiv</v>
    <v>0</v>
    <v>AMERICAN INTERNATIONAL GROUP, INC. (XNYS:AIG)</v>
    <v>2</v>
    <v>3</v>
    <v>Finance</v>
    <v>4</v>
    <v>65.73</v>
    <v>47.05</v>
    <v>1.2110000000000001</v>
    <v>-1.5</v>
    <v>-2.3685000000000001E-2</v>
    <v>USD</v>
    <v>American International Group, Inc. is a global insurance company. The Company provides a range of property casualty insurance, life insurance, retirement solutions and other financial services to customers in approximately 70 countries and jurisdictions. Its diverse offerings include products and services that help businesses and individuals protect their assets, manage risks and provide for retirement security. It segments include General Insurance, Life and Retirement and Other Operations. Its General Insurance segment consists of two segments: North America and International. Its Life and Retirement segment consists of four segments: Individual Retirement, Group Retirement, Life Insurance and Institutional Markets. Its North America and International segments consist of two product categories: Commercial Lines, which consists of Liability, Financial Lines, Property and Global Specialty, and Personal Insurance, which consists of Personal Lines, and Accident and Health.</v>
    <v>36600</v>
    <v>New York Stock Exchange</v>
    <v>XNYS</v>
    <v>XNYS</v>
    <v>175 Water Street, NEW YORK, NY, 10038 US</v>
    <v>63.27</v>
    <v>Insurance</v>
    <v>Stock</v>
    <v>44917.737076238278</v>
    <v>485</v>
    <v>61.83</v>
    <v>45938453400</v>
    <v>AMERICAN INTERNATIONAL GROUP, INC.</v>
    <v>AMERICAN INTERNATIONAL GROUP, INC.</v>
    <v>63.23</v>
    <v>3.7576999999999998</v>
    <v>63.33</v>
    <v>61.83</v>
    <v>742980000</v>
    <v>AIG</v>
    <v>AMERICAN INTERNATIONAL GROUP, INC. (XNYS:AIG)</v>
    <v>1190014</v>
    <v>5241394</v>
    <v>1967</v>
  </rv>
  <rv s="2">
    <v>486</v>
  </rv>
  <rv s="0">
    <v>https://www.bing.com/financeapi/forcetrigger?t=a1pzfr&amp;q=XNYS%3aCNC&amp;form=skydnc</v>
    <v>Learn more on Bing</v>
  </rv>
  <rv s="1">
    <v>en-US</v>
    <v>a1pzfr</v>
    <v>268435456</v>
    <v>1</v>
    <v>Powered by Refinitiv</v>
    <v>0</v>
    <v>CENTENE CORPORATION (XNYS:CNC)</v>
    <v>2</v>
    <v>3</v>
    <v>Finance</v>
    <v>4</v>
    <v>98.53</v>
    <v>73.194999999999993</v>
    <v>0.59660000000000002</v>
    <v>0.49</v>
    <v>6.0009999999999994E-3</v>
    <v>USD</v>
    <v>Centene Corporation is a healthcare company. The Company provides services to government-sponsored and commercial healthcare programs, focusing on under-insured and uninsured individuals. It provides managed healthcare products and services through Medicaid, Medicare, and commercial products. The Company’s segments include Managed Care and Specialty Services. The Managed Care segment provides health plans. The Specialty Services segment consists of specialty companies offering auxiliary healthcare services and products. The Company offers products to Medicaid and Medicare members (including Medicare Prescription Drug Plans) as well as individuals and families served by the Health Insurance Marketplace, the TRICARE program, and individuals in correctional facilities. It also serves several international markets, and contracts with other healthcare and commercial organizations to provide a variety of specialty services focused on treating the whole person.</v>
    <v>72500</v>
    <v>New York Stock Exchange</v>
    <v>XNYS</v>
    <v>XNYS</v>
    <v>7700 Forsyth Blvd, ST. LOUIS, MO, 63105-1807 US</v>
    <v>82.96</v>
    <v>Healthcare Providers &amp; Services</v>
    <v>Stock</v>
    <v>44917.73698922422</v>
    <v>488</v>
    <v>81.636399999999995</v>
    <v>46512571758</v>
    <v>CENTENE CORPORATION</v>
    <v>CENTENE CORPORATION</v>
    <v>81.78</v>
    <v>23.8306</v>
    <v>81.650000000000006</v>
    <v>82.14</v>
    <v>566259700</v>
    <v>CNC</v>
    <v>CENTENE CORPORATION (XNYS:CNC)</v>
    <v>1190718</v>
    <v>3385010</v>
    <v>2001</v>
  </rv>
  <rv s="2">
    <v>489</v>
  </rv>
  <rv s="0">
    <v>http://en.wikipedia.org/wiki/Ford_Motor_Company</v>
    <v>Wikipedia</v>
  </rv>
  <rv s="3">
    <v>3</v>
    <v>491</v>
  </rv>
  <rv s="4">
    <v>9</v>
    <v>https://www.bing.com/th?id=AMMS_cf0311a5f2d2dcb3110aca1404330618&amp;qlt=95</v>
    <v>492</v>
    <v>0</v>
    <v>https://www.bing.com/images/search?form=xlimg&amp;q=ford+motor+company</v>
    <v>Image of FORD MOTOR COMPANY</v>
  </rv>
  <rv s="0">
    <v>https://www.bing.com/financeapi/forcetrigger?t=a1sjw7&amp;q=XNYS%3aF&amp;form=skydnc</v>
    <v>Learn more on Bing</v>
  </rv>
  <rv s="5">
    <v>en-US</v>
    <v>a1sjw7</v>
    <v>268435456</v>
    <v>1</v>
    <v>Powered by Refinitiv</v>
    <v>5</v>
    <v>FORD MOTOR COMPANY (XNYS:F)</v>
    <v>7</v>
    <v>8</v>
    <v>Finance</v>
    <v>4</v>
    <v>25.87</v>
    <v>10.61</v>
    <v>1.4389000000000001</v>
    <v>-0.64500000000000002</v>
    <v>-5.4753999999999997E-2</v>
    <v>USD</v>
    <v>Ford Motor Company is an automobile company. The Company designs, manufactures, markets, and services a full line of electrified passenger and commercial vehicles, such as Ford trucks, utility vehicles, vans, and cars, and Lincoln luxury vehicles. The Company's segments include Automotive, Mobility and Ford Credit. The Automotive segment is engaged in developing, manufacturing, distributing, and servicing the vehicles, parts and accessories of Ford and Lincoln vehicles. The Mobility segment primarily includes the development of Ford's autonomous vehicles and related businesses, Ford's equity ownership in Argo AI (a developer of autonomous driving systems), and other mobility businesses and investments. The Ford Credit segment is comprised of the Ford Credit business on a consolidated basis, which is primarily vehicle-related financing and leasing activities. Ford Credit offers a range of automotive financing products to and through automotive dealers throughout the world.</v>
    <v>183000</v>
    <v>New York Stock Exchange</v>
    <v>XNYS</v>
    <v>XNYS</v>
    <v>One American Road, DEARBORN, MI, 48126-2701 US</v>
    <v>11.54</v>
    <v>493</v>
    <v>Automobiles &amp; Auto Parts</v>
    <v>Stock</v>
    <v>44917.737077870312</v>
    <v>494</v>
    <v>11.12</v>
    <v>44768200690</v>
    <v>FORD MOTOR COMPANY</v>
    <v>FORD MOTOR COMPANY</v>
    <v>11.51</v>
    <v>5.3357000000000001</v>
    <v>11.78</v>
    <v>11.135</v>
    <v>4020494000</v>
    <v>F</v>
    <v>FORD MOTOR COMPANY (XNYS:F)</v>
    <v>39119567</v>
    <v>47275929</v>
    <v>1919</v>
  </rv>
  <rv s="2">
    <v>495</v>
  </rv>
  <rv s="0">
    <v>https://www.bing.com/financeapi/forcetrigger?t=a1zez2&amp;q=XNYS%3aOXY&amp;form=skydnc</v>
    <v>Learn more on Bing</v>
  </rv>
  <rv s="1">
    <v>en-US</v>
    <v>a1zez2</v>
    <v>268435456</v>
    <v>1</v>
    <v>Powered by Refinitiv</v>
    <v>0</v>
    <v>OCCIDENTAL PETROLEUM CORPORATION (XNYS:OXY)</v>
    <v>2</v>
    <v>3</v>
    <v>Finance</v>
    <v>4</v>
    <v>77.129900000000006</v>
    <v>28.2</v>
    <v>1.8033999999999999</v>
    <v>-2.2050000000000001</v>
    <v>-3.4599000000000005E-2</v>
    <v>USD</v>
    <v>Occidental Petroleum Corporation is an energy company. The Company primarily conducts its ongoing exploration and production activities in the United States, the Middle East and North Africa. Within the United States, it has operations in Texas, New Mexico and Colorado, as well as offshore in the Gulf of Mexico. The Company operates through three reporting segments: oil and gas, chemical and midstream and marketing. The oil and gas segment explores for, develops and produces oil (which includes condensate), natural gas liquids (NGL) and natural gas. The chemical segment (OxyChem) primarily manufactures and markets basic chemicals and vinyls. The midstream and marketing segment purchases, markets, gathers, processes, transports and stores oil (which includes condensate), NGL, natural gas, carbon dioxide (CO2) and power. Its midstream and marketing segment also includes Occidental’s low carbon ventures (OLCV) businesses.</v>
    <v>11678</v>
    <v>New York Stock Exchange</v>
    <v>XNYS</v>
    <v>XNYS</v>
    <v>5 GREENWAY PLAZA, SUITE 110, HOUSTON, TX, 77046 US</v>
    <v>63.83</v>
    <v>Oil &amp; Gas</v>
    <v>Stock</v>
    <v>44917.737111990624</v>
    <v>497</v>
    <v>61.4</v>
    <v>55920940002</v>
    <v>OCCIDENTAL PETROLEUM CORPORATION</v>
    <v>OCCIDENTAL PETROLEUM CORPORATION</v>
    <v>63.774999999999999</v>
    <v>5.2755999999999998</v>
    <v>63.73</v>
    <v>61.524999999999999</v>
    <v>908914100</v>
    <v>OXY</v>
    <v>OCCIDENTAL PETROLEUM CORPORATION (XNYS:OXY)</v>
    <v>5622620</v>
    <v>12847331</v>
    <v>1986</v>
  </rv>
  <rv s="2">
    <v>498</v>
  </rv>
  <rv s="0">
    <v>https://www.bing.com/financeapi/forcetrigger?t=a1ser7&amp;q=XNYS%3aEW&amp;form=skydnc</v>
    <v>Learn more on Bing</v>
  </rv>
  <rv s="1">
    <v>en-US</v>
    <v>a1ser7</v>
    <v>268435456</v>
    <v>1</v>
    <v>Powered by Refinitiv</v>
    <v>0</v>
    <v>EDWARDS LIFESCIENCES CORPORATION (XNYS:EW)</v>
    <v>2</v>
    <v>3</v>
    <v>Finance</v>
    <v>4</v>
    <v>131.72999999999999</v>
    <v>67.13</v>
    <v>1.0284</v>
    <v>-1.27</v>
    <v>-1.6988E-2</v>
    <v>USD</v>
    <v>Edwards Lifesciences Corporation is a manufacturer of heart valve systems and repair products used to replace or repair a patient's diseased or defective heart valve. The Company is engaged in patient-focused innovations for structural heart disease and critical care monitoring. Its segments include United States, Europe, Japan and Rest of World. Its products and technologies are categorized into four main areas: Transcatheter Aortic Valve Replacement, Transcatheter Mitral and Tricuspid Therapies, Surgical Structural Heart and Critical Care. It also develops hemodynamic and noninvasive brain and tissue oxygenation monitoring systems that are used to measure a patient's cardiovascular function in the hospital setting. The Edwards SAPIEN family of valves, including Edwards SAPIEN XT, the Edwards SAPIEN 3, and the Edwards SAPIEN 3 Ultra transcatheter aortic heart valves are used to treat heart valve disease.</v>
    <v>15700</v>
    <v>New York Stock Exchange</v>
    <v>XNYS</v>
    <v>XNYS</v>
    <v>One Edwards Way, IRVINE, CA, 92614 US</v>
    <v>74.709999999999994</v>
    <v>Healthcare Equipment &amp; Supplies</v>
    <v>Stock</v>
    <v>44917.736972036721</v>
    <v>500</v>
    <v>73.47</v>
    <v>45435964145</v>
    <v>EDWARDS LIFESCIENCES CORPORATION</v>
    <v>EDWARDS LIFESCIENCES CORPORATION</v>
    <v>74.56</v>
    <v>32.185200000000002</v>
    <v>74.760000000000005</v>
    <v>73.489999999999995</v>
    <v>618260500</v>
    <v>EW</v>
    <v>EDWARDS LIFESCIENCES CORPORATION (XNYS:EW)</v>
    <v>1199010</v>
    <v>5264075</v>
    <v>1999</v>
  </rv>
  <rv s="2">
    <v>501</v>
  </rv>
  <rv s="0">
    <v>https://www.bing.com/financeapi/forcetrigger?t=a1o3tc&amp;q=XNYS%3aAZO&amp;form=skydnc</v>
    <v>Learn more on Bing</v>
  </rv>
  <rv s="1">
    <v>en-US</v>
    <v>a1o3tc</v>
    <v>268435456</v>
    <v>1</v>
    <v>Powered by Refinitiv</v>
    <v>0</v>
    <v>AUTOZONE, INC. (XNYS:AZO)</v>
    <v>2</v>
    <v>3</v>
    <v>Finance</v>
    <v>4</v>
    <v>2610.0500000000002</v>
    <v>1703.3203000000001</v>
    <v>0.76339999999999997</v>
    <v>-43.44</v>
    <v>-1.7873E-2</v>
    <v>USD</v>
    <v>AutoZone, Inc. is a retailer and distributor of automotive replacement parts and accessories in the Americas. The Company's Auto Parts Stores segment is the retailer and distributor of automotive parts and accessories through the Company's, stores in the United States, Mexico, and Brazil. Each store carries an extensive product line for cars, sport utility vehicles, vans and light trucks, including new and remanufactured automotive hard parts, maintenance items, accessories, and non-automotive products. Its other segments include ALLDATA, which produces, sells and maintains diagnostic, repair and shop management software used in the automotive repair industry and E-commerce, which includes direct sales to customers through www.autozone.com for sales that are not fulfilled by local stores. The Company has approximately 6,168 stores in the United States, 703 in Mexico, and 72 in Brazil for a total store count of 6,943.</v>
    <v>69440</v>
    <v>New York Stock Exchange</v>
    <v>XNYS</v>
    <v>XNYS</v>
    <v>123 S Front St, MEMPHIS, TN, 38103 US</v>
    <v>2426.8000000000002</v>
    <v>Specialty Retailers</v>
    <v>Stock</v>
    <v>44917.737016157029</v>
    <v>503</v>
    <v>2381.92</v>
    <v>44794404916</v>
    <v>AUTOZONE, INC.</v>
    <v>AUTOZONE, INC.</v>
    <v>2426.8000000000002</v>
    <v>20.433800000000002</v>
    <v>2430.48</v>
    <v>2387.04</v>
    <v>18765670</v>
    <v>AZO</v>
    <v>AUTOZONE, INC. (XNYS:AZO)</v>
    <v>39352</v>
    <v>154648</v>
    <v>1991</v>
  </rv>
  <rv s="2">
    <v>504</v>
  </rv>
  <rv s="0">
    <v>https://www.bing.com/financeapi/forcetrigger?t=a1wjz2&amp;q=XNYS%3aKMB&amp;form=skydnc</v>
    <v>Learn more on Bing</v>
  </rv>
  <rv s="1">
    <v>en-US</v>
    <v>a1wjz2</v>
    <v>268435456</v>
    <v>1</v>
    <v>Powered by Refinitiv</v>
    <v>0</v>
    <v>KIMBERLY-CLARK CORPORATION (XNYS:KMB)</v>
    <v>2</v>
    <v>3</v>
    <v>Finance</v>
    <v>4</v>
    <v>145.79</v>
    <v>108.74</v>
    <v>0.42170000000000002</v>
    <v>-0.58750000000000002</v>
    <v>-4.2899999999999995E-3</v>
    <v>USD</v>
    <v>Kimberly-Clark Corporation is engaged in the manufacturing and marketing of a range of products made from natural or synthetic fibers using technologies in fibers, nonwovens, and absorbency. The Company's segments include Personal Care, which offers solutions and products, such as disposable diapers, training, and youth pants, swim pants, baby wipes, feminine and incontinence care products, and other related products, which are sold under the Huggies, Pull-Ups, Little Swimmers, GoodNites, DryNites, Sweety, Kotex, U by Kotex, Intimus, Depend, Plenitud, Softex, Poise and other brand names; Consumer Tissue offers facial and bathroom tissue, paper towels, napkins and related products, which are sold under the Kleenex, Scott, Cottonelle, Viva, Andrex, Scottex, Neve and other brand names, and K-C Professional, which offers solutions and supporting products such as wipers, tissue, towels, apparel, soaps, and sanitizers. Its brands include Kleenex, Scott, WypAll, Kimtech, and KleenGuard.</v>
    <v>45000</v>
    <v>New York Stock Exchange</v>
    <v>XNYS</v>
    <v>XNYS</v>
    <v>351 Phelps Dr, IRVING, TX, 75038 US</v>
    <v>136.99</v>
    <v>Personal &amp; Household Products &amp; Services</v>
    <v>Stock</v>
    <v>44917.737081863284</v>
    <v>506</v>
    <v>135.91999999999999</v>
    <v>46024641407</v>
    <v>KIMBERLY-CLARK CORPORATION</v>
    <v>KIMBERLY-CLARK CORPORATION</v>
    <v>136.77000000000001</v>
    <v>25.9955</v>
    <v>136.96</v>
    <v>136.3725</v>
    <v>337492100</v>
    <v>KMB</v>
    <v>KIMBERLY-CLARK CORPORATION (XNYS:KMB)</v>
    <v>317036</v>
    <v>1509662</v>
    <v>1928</v>
  </rv>
  <rv s="2">
    <v>507</v>
  </rv>
  <rv s="0">
    <v>https://www.bing.com/financeapi/forcetrigger?t=a1nllh&amp;q=XNYS%3aAPH&amp;form=skydnc</v>
    <v>Learn more on Bing</v>
  </rv>
  <rv s="1">
    <v>en-US</v>
    <v>a1nllh</v>
    <v>268435456</v>
    <v>1</v>
    <v>Powered by Refinitiv</v>
    <v>0</v>
    <v>AMPHENOL CORPORATION (XNYS:APH)</v>
    <v>2</v>
    <v>3</v>
    <v>Finance</v>
    <v>4</v>
    <v>88.4499</v>
    <v>61.67</v>
    <v>1.2465999999999999</v>
    <v>-1.87</v>
    <v>-2.4355000000000002E-2</v>
    <v>USD</v>
    <v>Amphenol Corporation is a designer, manufacturer, and marketer of electrical, electronic and fiber optic connectors and interconnect systems, antennas, sensors and sensor-based products, and coaxial and high-speed specialty cables. The Company operates through three segments: Harsh Environment Solutions, Communications Solutions and Interconnect and Sensor Systems. The Harsh Environment Solutions segment designs, manufactures and markets a range of ruggedized interconnect products, including connectors and interconnect systems, printed circuits and printed circuit assemblies and other products. The Communications Solutions segment designs, manufactures and markets a range of connector and interconnect systems, including high speed, radio frequency, power, fiber optic and other products, together with antennas. The Interconnect and Sensor Systems segment designs, manufactures, and markets a range of sensors, sensor-based systems, connectors, and value-add interconnect systems.</v>
    <v>90000</v>
    <v>New York Stock Exchange</v>
    <v>XNYS</v>
    <v>XNYS</v>
    <v>358 HALL AVE, WALLINGFORD, CT, 06492-3574 US</v>
    <v>76.290000000000006</v>
    <v>Electronic Equipment &amp; Parts</v>
    <v>Stock</v>
    <v>44917.737058645311</v>
    <v>509</v>
    <v>74.87</v>
    <v>44578528995</v>
    <v>AMPHENOL CORPORATION</v>
    <v>AMPHENOL CORPORATION</v>
    <v>76.290000000000006</v>
    <v>25.8749</v>
    <v>76.78</v>
    <v>74.91</v>
    <v>595094500</v>
    <v>APH</v>
    <v>AMPHENOL CORPORATION (XNYS:APH)</v>
    <v>577690</v>
    <v>2139533</v>
    <v>1986</v>
  </rv>
  <rv s="2">
    <v>510</v>
  </rv>
  <rv s="0">
    <v>https://www.bing.com/financeapi/forcetrigger?t=a22777&amp;q=XNYS%3aROP&amp;form=skydnc</v>
    <v>Learn more on Bing</v>
  </rv>
  <rv s="1">
    <v>en-US</v>
    <v>a22777</v>
    <v>268435456</v>
    <v>1</v>
    <v>Powered by Refinitiv</v>
    <v>0</v>
    <v>ROPER TECHNOLOGIES, INC. (XNYS:ROP)</v>
    <v>2</v>
    <v>3</v>
    <v>Finance</v>
    <v>4</v>
    <v>494.315</v>
    <v>356.21499999999997</v>
    <v>1.0654999999999999</v>
    <v>-7.44</v>
    <v>-1.7269E-2</v>
    <v>USD</v>
    <v>Roper Technologies, Inc. is a technology company. The Company operate businesses that design and develop software, including both license and software-as-a-service (SaaS) and engineered products and solutions for a variety of markets. It operates through four segments: Application software, Network Software &amp; Systems, Measurement &amp; Analytical solutions and Process Technologies. It provides a broad portfolio of products, solutions and services, including campus card and cashless systems, laboratory information management solutions, enterprise software and information solutions, preconstruction software, wireless sensor networks, SaaS-based trading network and business intelligence solutions, precision rubber and polymer laboratory instrumentation, data acquisition, data analysis software systems, valves and controls for industrial refrigeration systems, control, safety and hazardous area solutions, and rotary positive displacement technology based fluid handling solutions.</v>
    <v>19300</v>
    <v>New York Stock Exchange</v>
    <v>XNYS</v>
    <v>XNYS</v>
    <v>6901 Professional Pkwy East, Suite 200, SARASOTA, FL, 34240-8473 US</v>
    <v>427.815</v>
    <v>Software &amp; IT Services</v>
    <v>Stock</v>
    <v>44917.736858378907</v>
    <v>512</v>
    <v>423.16</v>
    <v>45691470000</v>
    <v>ROPER TECHNOLOGIES, INC.</v>
    <v>ROPER TECHNOLOGIES, INC.</v>
    <v>427.03</v>
    <v>49.044699999999999</v>
    <v>430.84</v>
    <v>423.4</v>
    <v>106052000</v>
    <v>ROP</v>
    <v>ROPER TECHNOLOGIES, INC. (XNYS:ROP)</v>
    <v>58083</v>
    <v>391535</v>
    <v>1981</v>
  </rv>
  <rv s="2">
    <v>513</v>
  </rv>
  <rv s="0">
    <v>https://www.bing.com/financeapi/forcetrigger?t=a1pejc&amp;q=XNAS%3aCDNS&amp;form=skydnc</v>
    <v>Learn more on Bing</v>
  </rv>
  <rv s="1">
    <v>en-US</v>
    <v>a1pejc</v>
    <v>268435456</v>
    <v>1</v>
    <v>Powered by Refinitiv</v>
    <v>0</v>
    <v>CADENCE DESIGN SYSTEMS, INC. (XNAS:CDNS)</v>
    <v>2</v>
    <v>3</v>
    <v>Finance</v>
    <v>4</v>
    <v>194.97</v>
    <v>132.315</v>
    <v>1.0900000000000001</v>
    <v>-5.4</v>
    <v>-3.2646000000000001E-2</v>
    <v>USD</v>
    <v>Cadence Design Systems, Inc. is an electronic system designing company. The Company's Custom IC Design and Simulation offerings are used by its customers to create schematic and physical representations of circuits down to the transistor level for analog, mixed-signal, custom digital, memory and radio frequency (RF) designs. Its Digital IC Design and Signoff solutions are used to create logical representations of a digital circuit or an integrated circuit (IC) that can be verified for correctness prior to implementation. Its Functional Verification products are used by its customers to verify that the circuitry or the software they have designed is consistent with the functional specification. Its IP offerings consist of pre-verified, customizable functional blocks. Its System Design and Analysis offerings are used by its customers to develop printed circuit boards (PCBs) and advanced IC packages and to analyze electromagnetic, electro-thermal and other multi-physics effects.</v>
    <v>9300</v>
    <v>Nasdaq Stock Market</v>
    <v>XNAS</v>
    <v>XNAS</v>
    <v>2655 Seely Avenue Bldg 5, SAN JOSE, CA, 95134 US</v>
    <v>163.32</v>
    <v>Software &amp; IT Services</v>
    <v>Stock</v>
    <v>44917.73709444375</v>
    <v>515</v>
    <v>159.88</v>
    <v>43893303160</v>
    <v>CADENCE DESIGN SYSTEMS, INC.</v>
    <v>CADENCE DESIGN SYSTEMS, INC.</v>
    <v>162.99</v>
    <v>58.218200000000003</v>
    <v>165.41</v>
    <v>160.01</v>
    <v>274316000</v>
    <v>CDNS</v>
    <v>CADENCE DESIGN SYSTEMS, INC. (XNAS:CDNS)</v>
    <v>464472</v>
    <v>1408211</v>
    <v>1987</v>
  </rv>
  <rv s="2">
    <v>516</v>
  </rv>
  <rv s="0">
    <v>https://www.bing.com/financeapi/forcetrigger?t=a24j8m&amp;q=XNYS%3aTRV&amp;form=skydnc</v>
    <v>Learn more on Bing</v>
  </rv>
  <rv s="1">
    <v>en-US</v>
    <v>a24j8m</v>
    <v>268435456</v>
    <v>1</v>
    <v>Powered by Refinitiv</v>
    <v>0</v>
    <v>The Travelers Companies, Inc. (XNYS:TRV)</v>
    <v>2</v>
    <v>3</v>
    <v>Finance</v>
    <v>4</v>
    <v>191.16</v>
    <v>149.64670000000001</v>
    <v>0.66190000000000004</v>
    <v>-2.99</v>
    <v>-1.5785E-2</v>
    <v>USD</v>
    <v>The Travelers Companies, Inc. is a holding company. The Company is engaged in providing a range of commercial and personal property and casualty insurance products and services to businesses, government units, associations and individuals. It operates through three segments: Business Insurance, Bond &amp; Specialty Insurance and Personal Insurance. The Business Insurance segment offers a range of property and casualty insurance and insurance-related services to its clients, in the United States and in Canada, as well as in the United Kingdom, the Republic of Ireland and throughout other parts of the world. The Bond &amp; Specialty Insurance segment provides surety, fidelity, management liability, professional liability, and other property and casualty coverages and related risk management services to its customers. Personal Insurance segment offers a range of property and casualty insurance products and services covering individuals’ personal risks.</v>
    <v>30800</v>
    <v>New York Stock Exchange</v>
    <v>XNYS</v>
    <v>XNYS</v>
    <v>385 WASHINGTON ST, SAINT PAUL, MN, 55102 US</v>
    <v>189.2</v>
    <v>Insurance</v>
    <v>Stock</v>
    <v>44917.737050068747</v>
    <v>518</v>
    <v>186.21</v>
    <v>43689404425</v>
    <v>The Travelers Companies, Inc.</v>
    <v>The Travelers Companies, Inc.</v>
    <v>189.2</v>
    <v>13.839499999999999</v>
    <v>189.42</v>
    <v>186.43</v>
    <v>234347500</v>
    <v>TRV</v>
    <v>The Travelers Companies, Inc. (XNYS:TRV)</v>
    <v>312630</v>
    <v>1344683</v>
    <v>1853</v>
  </rv>
  <rv s="2">
    <v>519</v>
  </rv>
  <rv s="0">
    <v>https://www.bing.com/financeapi/forcetrigger?t=a1rgxm&amp;q=XNAS%3aDXCM&amp;form=skydnc</v>
    <v>Learn more on Bing</v>
  </rv>
  <rv s="1">
    <v>en-US</v>
    <v>a1rgxm</v>
    <v>268435456</v>
    <v>1</v>
    <v>Powered by Refinitiv</v>
    <v>0</v>
    <v>DEXCOM, INC. (XNAS:DXCM)</v>
    <v>2</v>
    <v>3</v>
    <v>Finance</v>
    <v>4</v>
    <v>144.96250000000001</v>
    <v>66.892499999999998</v>
    <v>1.1334</v>
    <v>-2.5550000000000002</v>
    <v>-2.2263999999999999E-2</v>
    <v>USD</v>
    <v>DexCom, Inc. is a medical device company. The Company is primarily focused on the design, development, and commercialization of continuous glucose monitoring (CGM), systems for use by people with diabetes and by healthcare providers. Its Dexcom G6 is a CGM system that can be used as part of an integrated system with other compatible medical devices and electronic interfaces, which may include automated insulin dosing systems, insulin pumps, blood glucose meters or other electronic devices used for diabetes management. Its Dexcom Share remote monitoring system, offered for use with its Dexcom system, uses an application on the patient's mobile device to wirelessly transmit glucose information to the cloud and then to applications on the mobile devices of up to five designated recipients. Its Dexcom Real-Time API enables invited third-party developers to integrate real-time CGM data into their digital health applications and devices. Its other products include Dexcom ONE and Dexcom G7.</v>
    <v>6300</v>
    <v>Nasdaq Stock Market</v>
    <v>XNAS</v>
    <v>XNAS</v>
    <v>6340 Sequence Dr, SAN DIEGO, CA, 92121 US</v>
    <v>114.71</v>
    <v>Healthcare Equipment &amp; Supplies</v>
    <v>Stock</v>
    <v>44917.737099478909</v>
    <v>521</v>
    <v>111.68</v>
    <v>43340090110</v>
    <v>DEXCOM, INC.</v>
    <v>DEXCOM, INC.</v>
    <v>113.78</v>
    <v>214.3554</v>
    <v>114.76</v>
    <v>112.205</v>
    <v>386258100</v>
    <v>DXCM</v>
    <v>DEXCOM, INC. (XNAS:DXCM)</v>
    <v>700012</v>
    <v>2746957</v>
    <v>1999</v>
  </rv>
  <rv s="2">
    <v>522</v>
  </rv>
  <rv s="0">
    <v>https://www.bing.com/financeapi/forcetrigger?t=a218mw&amp;q=XNYS%3aPSA&amp;form=skydnc</v>
    <v>Learn more on Bing</v>
  </rv>
  <rv s="1">
    <v>en-US</v>
    <v>a218mw</v>
    <v>268435456</v>
    <v>1</v>
    <v>Powered by Refinitiv</v>
    <v>0</v>
    <v>PUBLIC STORAGE (XNYS:PSA)</v>
    <v>2</v>
    <v>3</v>
    <v>Finance</v>
    <v>4</v>
    <v>405.30759999999998</v>
    <v>270.73</v>
    <v>0.40579999999999999</v>
    <v>-4.8099999999999996</v>
    <v>-1.6955999999999999E-2</v>
    <v>USD</v>
    <v>Public Storage is a real estate investment trust (REIT). The Company's principal business activities include the ownership and operation of self-storage facilities and other related operations, including tenant reinsurance and third-party self-storage management. The Company's segments include Self-Storage Operations and Ancillary Operations. The Self-Storage Operations segment includes the aggregated rental operations from the self-storage facilities it owns from same store facilities, acquired facilities, developed, and expanded facilities, and other non-same store facilities. The Ancillary Operations segment includes the combined operations of its tenant loss reinsurance, merchandise sales, and third-party property management operating segments. It holds interests in and consolidated approximately 2,787 self-storage facilities (an aggregate of about 198 million net rentable square feet of space). Its subsidiaries include PS LPT Properties Investors and PS California Holdings, Inc.</v>
    <v>5800</v>
    <v>New York Stock Exchange</v>
    <v>XNYS</v>
    <v>XNYS</v>
    <v>701 Western Ave, GLENDALE, CA, 91201-2349 US</v>
    <v>283.35000000000002</v>
    <v>Residential &amp; Commercial REIT</v>
    <v>Stock</v>
    <v>44917.73700040469</v>
    <v>524</v>
    <v>278.63499999999999</v>
    <v>48978524224</v>
    <v>PUBLIC STORAGE</v>
    <v>PUBLIC STORAGE</v>
    <v>281.73</v>
    <v>11.5299</v>
    <v>283.67</v>
    <v>278.86</v>
    <v>175638400</v>
    <v>PSA</v>
    <v>PUBLIC STORAGE (XNYS:PSA)</v>
    <v>155255</v>
    <v>951311</v>
    <v>2007</v>
  </rv>
  <rv s="2">
    <v>525</v>
  </rv>
  <rv s="0">
    <v>https://www.bing.com/financeapi/forcetrigger?t=a1mnrw&amp;q=XNYS%3aA&amp;form=skydnc</v>
    <v>Learn more on Bing</v>
  </rv>
  <rv s="1">
    <v>en-US</v>
    <v>a1mnrw</v>
    <v>268435456</v>
    <v>1</v>
    <v>Powered by Refinitiv</v>
    <v>0</v>
    <v>AGILENT TECHNOLOGIES, INC. (XNYS:A)</v>
    <v>2</v>
    <v>3</v>
    <v>Finance</v>
    <v>4</v>
    <v>162.62</v>
    <v>112.52</v>
    <v>1.0746</v>
    <v>-2.6</v>
    <v>-1.7322999999999998E-2</v>
    <v>USD</v>
    <v>Agilent Technologies, Inc. is engaged in providing application-focused solutions that include instruments, software, services and consumables for the entire laboratory workflow. The Company operates in the life sciences, diagnostics and applied chemical markets. Its life sciences and applied markets business provides application-focused solutions that include instruments and software that enable customers to identify, quantify and analyze the physical and biological properties of substances and products. Its diagnostics and genomics business includes the genomics, nucleic acid contract manufacturing and research and development, pathology, companion diagnostics, reagent partnership and biomolecular analysis businesses. Its Agilent CrossLab business spans the entire lab with its range of services portfolio, which is designed to improve customer outcomes. Its product categories include liquid chromatography (LC) systems and components, atomic absorption (AA) instruments and others.</v>
    <v>17700</v>
    <v>New York Stock Exchange</v>
    <v>XNYS</v>
    <v>XNYS</v>
    <v>5301 Stevens Creek Blvd, SANTA CLARA, CA, 95051 US</v>
    <v>148.91999999999999</v>
    <v>Healthcare Equipment &amp; Supplies</v>
    <v>Stock</v>
    <v>44917.737036608596</v>
    <v>527</v>
    <v>147.44999999999999</v>
    <v>43509550000</v>
    <v>AGILENT TECHNOLOGIES, INC.</v>
    <v>AGILENT TECHNOLOGIES, INC.</v>
    <v>148.66999999999999</v>
    <v>35.910800000000002</v>
    <v>150.09</v>
    <v>147.49</v>
    <v>295000000</v>
    <v>A</v>
    <v>AGILENT TECHNOLOGIES, INC. (XNYS:A)</v>
    <v>365262</v>
    <v>1473754</v>
    <v>1999</v>
  </rv>
  <rv s="2">
    <v>528</v>
  </rv>
  <rv s="0">
    <v>https://www.bing.com/financeapi/forcetrigger?t=a1xear&amp;q=XNYS%3aMCO&amp;form=skydnc</v>
    <v>Learn more on Bing</v>
  </rv>
  <rv s="1">
    <v>en-US</v>
    <v>a1xear</v>
    <v>268435456</v>
    <v>1</v>
    <v>Powered by Refinitiv</v>
    <v>0</v>
    <v>MOODY'S CORPORATION (XNYS:MCO)</v>
    <v>2</v>
    <v>3</v>
    <v>Finance</v>
    <v>4</v>
    <v>403.73</v>
    <v>230.16</v>
    <v>1.2412000000000001</v>
    <v>-5.7450000000000001</v>
    <v>-2.0341999999999999E-2</v>
    <v>USD</v>
    <v>Moody's Corporation is a global integrated risk assessment company. The Company operates through two segments: Moody's Investors Service (MIS) and Moody's Analytics (MA). The MIS segment publishes credit ratings and provides assessment services on a range of debt obligations, programs and facilities, and the entities that issue such obligations in markets worldwide, including various corporate, financial institution and governmental obligations, and structured finance securities. The MIS segment consists of five lines of business, which include corporate finance group; structured finance group; financial institutions group; public, project and infrastructure finance, and MIS Other. The MA segment develops a range of products and services that support the risk management activities of institutional participants in global financial markets. The MA segment consists of two lines of business, such as research, data and analytics (RD&amp;A) business and enterprise risk solutions (ERS).</v>
    <v>14571</v>
    <v>New York Stock Exchange</v>
    <v>XNYS</v>
    <v>XNYS</v>
    <v>7 World Trade Ctr, NEW YORK, NY, 10007-2140 US</v>
    <v>281</v>
    <v>Professional &amp; Commercial Services</v>
    <v>Stock</v>
    <v>44917.736625717189</v>
    <v>530</v>
    <v>276.45999999999998</v>
    <v>50686860000</v>
    <v>MOODY'S CORPORATION</v>
    <v>MOODY'S CORPORATION</v>
    <v>279.95</v>
    <v>33.749000000000002</v>
    <v>282.42</v>
    <v>276.67500000000001</v>
    <v>183200000</v>
    <v>MCO</v>
    <v>MOODY'S CORPORATION (XNYS:MCO)</v>
    <v>131020</v>
    <v>718482</v>
    <v>2000</v>
  </rv>
  <rv s="2">
    <v>531</v>
  </rv>
  <rv s="0">
    <v>https://www.bing.com/financeapi/forcetrigger?t=a1w2cw&amp;q=XNYS%3aJCI&amp;form=skydnc</v>
    <v>Learn more on Bing</v>
  </rv>
  <rv s="1">
    <v>en-US</v>
    <v>a1w2cw</v>
    <v>268435456</v>
    <v>1</v>
    <v>Powered by Refinitiv</v>
    <v>0</v>
    <v>JOHNSON CONTROLS INTERNATIONAL PLC (XNYS:JCI)</v>
    <v>2</v>
    <v>3</v>
    <v>Finance</v>
    <v>4</v>
    <v>81.77</v>
    <v>45.52</v>
    <v>1.2272000000000001</v>
    <v>-1.4</v>
    <v>-2.1665E-2</v>
    <v>USD</v>
    <v>Johnson Controls International plc is a global diversified technology and multi-industrial company. It operates through four segments: Building Solutions North America, Building Solutions EMEA/LA, Building Solutions Asia Pacific, and Global Products. Its Building Solutions North America, Building Solutions EMEA/LA, and Building Solutions Asia Pacific segments designs, sells, installs, and services heating, ventilation and air conditioning (HVAC), controls, building management, refrigeration, integrated electronic security, integrated fire detection and suppression systems, and provides technical services. Its Global Products segment designs, manufactures and sells HVAC equipment, controls software and software services for residential and commercial applications to commercial, industrial, retail, residential, small business, institutional and governmental customers worldwide. In addition, Global Products segment designs, manufactures and sells refrigeration equipment and controls.</v>
    <v>102000</v>
    <v>New York Stock Exchange</v>
    <v>XNYS</v>
    <v>XNYS</v>
    <v>One Albert Quay, Albert Quay, CORK, CORK IE</v>
    <v>64.13</v>
    <v>Machinery, Equipment &amp; Components</v>
    <v>Stock</v>
    <v>44917.737000196095</v>
    <v>533</v>
    <v>63.207000000000001</v>
    <v>43413420558</v>
    <v>JOHNSON CONTROLS INTERNATIONAL PLC</v>
    <v>JOHNSON CONTROLS INTERNATIONAL PLC</v>
    <v>64.05</v>
    <v>29.357199999999999</v>
    <v>64.62</v>
    <v>63.22</v>
    <v>686703900</v>
    <v>JCI</v>
    <v>JOHNSON CONTROLS INTERNATIONAL PLC (XNYS:JCI)</v>
    <v>748171</v>
    <v>3711338</v>
    <v>2014</v>
  </rv>
  <rv s="2">
    <v>534</v>
  </rv>
  <rv s="0">
    <v>https://www.bing.com/financeapi/forcetrigger?t=a1rzh7&amp;q=XNAS%3aENPH&amp;form=skydnc</v>
    <v>Learn more on Bing</v>
  </rv>
  <rv s="1">
    <v>en-US</v>
    <v>a1rzh7</v>
    <v>268435456</v>
    <v>1</v>
    <v>Powered by Refinitiv</v>
    <v>0</v>
    <v>ENPHASE ENERGY, INC. (XNAS:ENPH)</v>
    <v>2</v>
    <v>3</v>
    <v>Finance</v>
    <v>4</v>
    <v>339.92</v>
    <v>113.4</v>
    <v>1.3097000000000001</v>
    <v>-20.8</v>
    <v>-6.5594E-2</v>
    <v>USD</v>
    <v>Enphase Energy, Inc. is an energy technology company. The Company is a supplier of microinverter-based solar and battery systems that enable people to harness the sun to make, use, save, and sell their own power, and control it all with a smart mobile application. Its semiconductor-based microinverter converts energy at the individual solar module level and, combined with its networking and software technologies that provides advanced energy monitoring and control. Its Enphase Home Energy Solution with IQ platform, which is an integrated solar, storage and energy management offering, uses a single technology platform for managing the whole solution, enabling rapid commissioning with the Installer Toolkit; consumption monitoring with its Envoy Communications Gateway with IQ Combiner+, Enphase Enlighten, and its Enphase AC Battery. It also provides Internet of Things (IoT) software solutions for customers to connect and manage a range of distributed energy devices within the home.</v>
    <v>2260</v>
    <v>Nasdaq Stock Market</v>
    <v>XNAS</v>
    <v>XNAS</v>
    <v>47281 Bayside Parkway, FREMONT, CA, 94538 US</v>
    <v>316</v>
    <v>Renewable Energy</v>
    <v>Stock</v>
    <v>44917.737103842184</v>
    <v>536</v>
    <v>295.51010000000002</v>
    <v>40274162680</v>
    <v>ENPHASE ENERGY, INC.</v>
    <v>ENPHASE ENERGY, INC.</v>
    <v>312.88</v>
    <v>154.66480000000001</v>
    <v>317.10000000000002</v>
    <v>296.3</v>
    <v>135923600</v>
    <v>ENPH</v>
    <v>ENPHASE ENERGY, INC. (XNAS:ENPH)</v>
    <v>1460615</v>
    <v>3465025</v>
    <v>2006</v>
  </rv>
  <rv s="2">
    <v>537</v>
  </rv>
  <rv s="0">
    <v>https://www.bing.com/financeapi/forcetrigger?t=a1xzr7&amp;q=XNYS%3aMSI&amp;form=skydnc</v>
    <v>Learn more on Bing</v>
  </rv>
  <rv s="1">
    <v>en-US</v>
    <v>a1xzr7</v>
    <v>268435456</v>
    <v>1</v>
    <v>Powered by Refinitiv</v>
    <v>0</v>
    <v>MOTOROLA SOLUTIONS, INC. (XNYS:MSI)</v>
    <v>2</v>
    <v>3</v>
    <v>Finance</v>
    <v>4</v>
    <v>275.16000000000003</v>
    <v>195.17500000000001</v>
    <v>0.94330000000000003</v>
    <v>-5.07</v>
    <v>-1.9689000000000002E-2</v>
    <v>USD</v>
    <v>Motorola Solutions, Inc. provides communications and analytics solutions. The Company provides land mobile radio communications (LMR), video security and access control and command center software, video security and analytics, supported by managed and support services. Its segments include Products and Systems Integration Segment, and Software and Services Segment. The Products and Systems Integration segment offers a portfolio of infrastructure, devices, accessories and video security devices, including LMR, public safety long term evolution (LTE) and private LTE, as well as network video management infrastructure, fixed security and mobile video cameras and access control solutions. The Software and Services segment has Software and Services product lines. Software includes public safety and enterprise command center software, unified communications applications, and video software solutions. Services includes range of service offerings, including repair, technical support, others.</v>
    <v>18700</v>
    <v>New York Stock Exchange</v>
    <v>XNYS</v>
    <v>XNYS</v>
    <v>500 W. Monroe St., CHICAGO, IL, 60661 US</v>
    <v>256.33</v>
    <v>Communications &amp; Networking</v>
    <v>Stock</v>
    <v>44917.737095555465</v>
    <v>539</v>
    <v>252.16</v>
    <v>42207103776</v>
    <v>MOTOROLA SOLUTIONS, INC.</v>
    <v>MOTOROLA SOLUTIONS, INC.</v>
    <v>254.53</v>
    <v>37.837899999999998</v>
    <v>257.5</v>
    <v>252.43</v>
    <v>167203200</v>
    <v>MSI</v>
    <v>MOTOROLA SOLUTIONS, INC. (XNYS:MSI)</v>
    <v>138127</v>
    <v>665645</v>
    <v>1973</v>
  </rv>
  <rv s="2">
    <v>540</v>
  </rv>
  <rv s="0">
    <v>https://www.bing.com/financeapi/forcetrigger?t=a1yy2w&amp;q=XNAS%3aNXPI&amp;form=skydnc</v>
    <v>Learn more on Bing</v>
  </rv>
  <rv s="1">
    <v>en-US</v>
    <v>a1yy2w</v>
    <v>268435456</v>
    <v>1</v>
    <v>Powered by Refinitiv</v>
    <v>0</v>
    <v>NXP Semiconductors NV (XNAS:NXPI)</v>
    <v>2</v>
    <v>3</v>
    <v>Finance</v>
    <v>4</v>
    <v>234.9</v>
    <v>132.08000000000001</v>
    <v>1.4646999999999999</v>
    <v>-9.0299999999999994</v>
    <v>-5.5252999999999997E-2</v>
    <v>USD</v>
    <v>NXP Semiconductors NV (NXP) is The Netherlands-based holding company. The Company operates as a semiconductor company. The Company provides high performance mixed signal analog-digital (mixed A/D) and standard product solutions. Its product solutions are used in a range of end-market applications, including automotive, personal security and identification, industrial &amp; Internet of Things (IoT), wireless and wireline infrastructure, mobile communications, multi-market industrial, consumer and computing. It engages with global original equipment manufacturers (OEMs). The Company sells products in all geographic regions and countries: China, USA, Japan, Malaysia, South Korea, Germany, The Netherlands, and others.</v>
    <v>31000</v>
    <v>Nasdaq Stock Market</v>
    <v>XNAS</v>
    <v>XNAS</v>
    <v>High Tech Campus 60, EINDHOVEN, NOORD-BRABANT, 5656AG NL</v>
    <v>161.00980000000001</v>
    <v>Semiconductors &amp; Semiconductor Equipment</v>
    <v>Stock</v>
    <v>44917.737092812502</v>
    <v>542</v>
    <v>153.96</v>
    <v>40010428560</v>
    <v>NXP Semiconductors NV</v>
    <v>NXP Semiconductors NV</v>
    <v>159.86000000000001</v>
    <v>16.284400000000002</v>
    <v>163.43</v>
    <v>154.4</v>
    <v>259134900</v>
    <v>NXPI</v>
    <v>NXP Semiconductors NV (XNAS:NXPI)</v>
    <v>640238</v>
    <v>1943745</v>
    <v>2010</v>
  </rv>
  <rv s="2">
    <v>543</v>
  </rv>
  <rv s="0">
    <v>https://www.bing.com/financeapi/forcetrigger?t=bq89dm&amp;q=XNYS%3aCTVA&amp;form=skydnc</v>
    <v>Learn more on Bing</v>
  </rv>
  <rv s="1">
    <v>en-US</v>
    <v>bq89dm</v>
    <v>268435456</v>
    <v>1</v>
    <v>Powered by Refinitiv</v>
    <v>0</v>
    <v>CORTEVA, INC. (XNYS:CTVA)</v>
    <v>2</v>
    <v>3</v>
    <v>Finance</v>
    <v>4</v>
    <v>68.430000000000007</v>
    <v>43.74</v>
    <v>0.78310000000000002</v>
    <v>-1.1160000000000001</v>
    <v>-1.8790999999999999E-2</v>
    <v>USD</v>
    <v>Corteva, Inc. is a global provider of seed and crop protection solutions focused on the agriculture industry. Its seed segment is engaged in developing and supplying germplasm and traits that produce optimum yields for farms around the world. This segment offers trait technologies that improve resistance to weather, disease, insects and herbicides used to control weeds, and trait technologies that enhance food and nutritional characteristics, and provides digital solutions that assist farmers in decision-making. Its crop protection segment serves the global agricultural input industry with products that protect against weeds, insects and other pests, and disease, and that improve overall crop health both above and below ground through nitrogen management and seed-applied technologies. This segment provides herbicides, insecticides, nitrogen stabilizers and pasture and range management herbicides. Its portfolio of brands includes CLOSER, DELEGATE, Pioneer, Brevant seeds and others.</v>
    <v>21000</v>
    <v>New York Stock Exchange</v>
    <v>XNYS</v>
    <v>XNYS</v>
    <v>9330 ZIONSVILLE ROAD, INDIANAPOLIS, IN, 46268 US</v>
    <v>59.24</v>
    <v>Food &amp; Tobacco</v>
    <v>Stock</v>
    <v>44917.737021967187</v>
    <v>545</v>
    <v>58.27</v>
    <v>41636306808</v>
    <v>CORTEVA, INC.</v>
    <v>CORTEVA, INC.</v>
    <v>59.125</v>
    <v>30.994299999999999</v>
    <v>59.39</v>
    <v>58.274000000000001</v>
    <v>714492000</v>
    <v>CTVA</v>
    <v>CORTEVA, INC. (XNYS:CTVA)</v>
    <v>794577</v>
    <v>2929614</v>
    <v>2018</v>
  </rv>
  <rv s="2">
    <v>546</v>
  </rv>
  <rv s="0">
    <v>https://www.bing.com/financeapi/forcetrigger?t=a1shjc&amp;q=XNAS%3aEXC&amp;form=skydnc</v>
    <v>Learn more on Bing</v>
  </rv>
  <rv s="1">
    <v>en-US</v>
    <v>a1shjc</v>
    <v>268435456</v>
    <v>1</v>
    <v>Powered by Refinitiv</v>
    <v>0</v>
    <v>EXELON CORPORATION (XNAS:EXC)</v>
    <v>2</v>
    <v>3</v>
    <v>Finance</v>
    <v>4</v>
    <v>50.71</v>
    <v>35.185000000000002</v>
    <v>0.53810000000000002</v>
    <v>-0.67500000000000004</v>
    <v>-1.5834000000000001E-2</v>
    <v>USD</v>
    <v>Exelon Corporation is a utility services holding company. The Company, through its subsidiary, Exelon Generation Company, LLC (Generation), is engaged in the generation, delivery, and marketing of energy business. The Company, through its subsidiaries, Commonwealth Edison Company (ComEd), PECO Energy Company (PECO), Baltimore Gas and Electric Company (BGE), Pepco Holdings LLC (PHI), Potomac Electric Power Company (Pepco), Delmarva Power &amp; Light Company (DPL) and Atlantic City Electric Company (ACE), is engaged in the energy distribution and transmission business. It operates through 11 segments: Generation's five segments: Mid-Atlantic, Midwest, New York, ERCOT, Other Power Regions, ComEd, PECO and BGE, and PHI's three utility segments: Pepco, DPL and ACE. Generation's integrated business consists of the generation, physical delivery and marketing of power across geographical regions through its customer-facing business.</v>
    <v>31518</v>
    <v>Nasdaq Stock Market</v>
    <v>XNAS</v>
    <v>XNAS</v>
    <v>PO BOX 805398, CHICAGO, IL, 60680-5398 US</v>
    <v>42.54</v>
    <v>Electrical Utilities &amp; IPPs</v>
    <v>Stock</v>
    <v>44917.73710513828</v>
    <v>548</v>
    <v>41.9</v>
    <v>41692445610</v>
    <v>EXELON CORPORATION</v>
    <v>EXELON CORPORATION</v>
    <v>42.4</v>
    <v>20.8551</v>
    <v>42.63</v>
    <v>41.954999999999998</v>
    <v>993742000</v>
    <v>EXC</v>
    <v>EXELON CORPORATION (XNAS:EXC)</v>
    <v>2117767</v>
    <v>8344571</v>
    <v>1999</v>
  </rv>
  <rv s="2">
    <v>549</v>
  </rv>
  <rv s="0">
    <v>https://www.bing.com/financeapi/forcetrigger?t=a1mwoc&amp;q=XNAS%3aADSK&amp;form=skydnc</v>
    <v>Learn more on Bing</v>
  </rv>
  <rv s="1">
    <v>en-US</v>
    <v>a1mwoc</v>
    <v>268435456</v>
    <v>1</v>
    <v>Powered by Refinitiv</v>
    <v>0</v>
    <v>AUTODESK, INC. (XNAS:ADSK)</v>
    <v>2</v>
    <v>3</v>
    <v>Finance</v>
    <v>4</v>
    <v>285.37990000000002</v>
    <v>163.19999999999999</v>
    <v>1.4679</v>
    <v>-5.4211999999999998</v>
    <v>-2.8201999999999998E-2</v>
    <v>USD</v>
    <v>Autodesk, Inc. is a three-dimensional (3D) design, engineering, and entertainment software and services provider. The Company's product offerings are focused in four primary product families: architecture, engineering and construction (AEC), AutoCAD and AutoCAD LT, manufacturing (MFG), and media and entertainment (M&amp;E). Its products include AutoCAD Civil 3D, AutoCAD Civil 3D, architecture, engineering and construction collection, Autodesk Build, Revit, AutoCAD, AutoCAD LT, computer-aided manufacturing (CAM) Solutions, Fusion 360, product design and manufacturing collection, Inventor, Vault, media and entertainment collection, Maya, ShotGrid and 3ds Max. It serves customers in architecture, engineering, and construction; product design and manufacturing, and digital media and entertainment industries. The Company’s product development and manufacturing software provide manufacturers in automotive, transportation, industrial machinery, consumer products and building product industries.</v>
    <v>12600</v>
    <v>Nasdaq Stock Market</v>
    <v>XNAS</v>
    <v>XNAS</v>
    <v>One Market, Ste. 400., SAN FRANCISCO, CA, 94105 US</v>
    <v>190.11</v>
    <v>Software &amp; IT Services</v>
    <v>Stock</v>
    <v>44917.737020046094</v>
    <v>551</v>
    <v>186.43</v>
    <v>40307267754</v>
    <v>AUTODESK, INC.</v>
    <v>AUTODESK, INC.</v>
    <v>189.31</v>
    <v>67.798599999999993</v>
    <v>192.23</v>
    <v>186.80879999999999</v>
    <v>215767500</v>
    <v>ADSK</v>
    <v>AUTODESK, INC. (XNAS:ADSK)</v>
    <v>700760</v>
    <v>1852426</v>
    <v>1994</v>
  </rv>
  <rv s="2">
    <v>552</v>
  </rv>
  <rv s="0">
    <v>https://www.bing.com/financeapi/forcetrigger?t=a1ohur&amp;q=XNAS%3aBIIB&amp;form=skydnc</v>
    <v>Learn more on Bing</v>
  </rv>
  <rv s="1">
    <v>en-US</v>
    <v>a1ohur</v>
    <v>268435456</v>
    <v>1</v>
    <v>Powered by Refinitiv</v>
    <v>0</v>
    <v>BIOGEN INC. (XNAS:BIIB)</v>
    <v>2</v>
    <v>3</v>
    <v>Finance</v>
    <v>4</v>
    <v>311.88</v>
    <v>187.16</v>
    <v>0.21970000000000001</v>
    <v>-7.7</v>
    <v>-2.6842000000000001E-2</v>
    <v>USD</v>
    <v>Biogen Inc. is a global biopharmaceutical company. It is focused on discovering, developing and delivering therapies for people living with serious neurological and neurodegenerative diseases as well as related therapeutic adjacencies. It has a portfolio of medicines to treat multiple sclerosis (MS), spinal muscular atrophy (SMA) and Alzheimer's disease. Its marketed products include TECFIDERA, VUMERITY, AVONEX, PLEGRIDY, TYSABRI and FAMPYRA for the treatment of MS; SPINRAZA for the treatment of SMA; ADUHELM for the treatment of Alzheimer's disease; and FUMADERM for the treatment of severe plaque psoriasis. It also has a collaboration agreement with Genentech, Inc. (Genentech), a member of the Roche Group, with respect to RITUXAN for the treatment of non-Hodgkin's lymphoma, chronic lymphocytic leukemia (CLL) and other conditions; RITUXAN HYCELA for the treatment of non-Hodgkin's lymphoma and CLL; GAZYVA; OCREVUS; and other potential anti-CD20 therapies, including mosunetuzumab.</v>
    <v>9610</v>
    <v>Nasdaq Stock Market</v>
    <v>XNAS</v>
    <v>XNAS</v>
    <v>225 Binney Street, CAMBRIDGE, MA, 02142 US</v>
    <v>283.64999999999998</v>
    <v>Pharmaceuticals</v>
    <v>Stock</v>
    <v>44917.737089791408</v>
    <v>554</v>
    <v>279.16000000000003</v>
    <v>40199430824</v>
    <v>BIOGEN INC.</v>
    <v>BIOGEN INC.</v>
    <v>283.61</v>
    <v>14.6152</v>
    <v>286.86</v>
    <v>279.16000000000003</v>
    <v>144001400</v>
    <v>BIIB</v>
    <v>BIOGEN INC. (XNAS:BIIB)</v>
    <v>401752</v>
    <v>1307349</v>
    <v>1997</v>
  </rv>
  <rv s="2">
    <v>555</v>
  </rv>
  <rv s="0">
    <v>https://www.bing.com/financeapi/forcetrigger?t=a1mzjc&amp;q=XNYS%3aAFL&amp;form=skydnc</v>
    <v>Learn more on Bing</v>
  </rv>
  <rv s="1">
    <v>en-US</v>
    <v>a1mzjc</v>
    <v>268435456</v>
    <v>1</v>
    <v>Powered by Refinitiv</v>
    <v>0</v>
    <v>AFLAC INCORPORATED (XNYS:AFL)</v>
    <v>2</v>
    <v>3</v>
    <v>Finance</v>
    <v>4</v>
    <v>72.7</v>
    <v>52.0702</v>
    <v>0.9234</v>
    <v>-0.77</v>
    <v>-1.0775E-2</v>
    <v>USD</v>
    <v>Aflac Incorporated is a holding company engaged in the supplemental health and life insurance business. The Company's insurance business is marketed and administered through, American Family Life Assurance Company of Columbus (Aflac) in the United States and through Aflac Life Insurance Japan Ltd. (ALIJ) in Japan. The Company's segments include Aflac Japan and Aflac U.S. Aflac Japan is designed to help consumers pay for medical and non-medical costs that are not reimbursed under Japan's national health insurance system. It offers insurance products, such as cancer, medical, and income support insurance. Its protection products include Medical Insurance, Nursing Care Insurance, Income Support Insurance, whole life, GIFT, WAYS and Child Endowment. The Company designs the United States insurance products to provide supplemental coverage for people having medical or primary insurance coverage. Aflac U.S. products are distributed in the individual and group supplemental insurance markets.</v>
    <v>12447</v>
    <v>New York Stock Exchange</v>
    <v>XNYS</v>
    <v>XNYS</v>
    <v>1932 Wynnton Rd, COLUMBUS, GA, 31999-0001 US</v>
    <v>71.5</v>
    <v>Insurance</v>
    <v>Stock</v>
    <v>44917.737020057815</v>
    <v>557</v>
    <v>70.66</v>
    <v>43954236134</v>
    <v>AFLAC INCORPORATED</v>
    <v>AFLAC INCORPORATED</v>
    <v>71.5</v>
    <v>9.1232000000000006</v>
    <v>71.459999999999994</v>
    <v>70.69</v>
    <v>621788600</v>
    <v>AFL</v>
    <v>AFLAC INCORPORATED (XNYS:AFL)</v>
    <v>561685</v>
    <v>2786680</v>
    <v>1973</v>
  </rv>
  <rv s="2">
    <v>558</v>
  </rv>
  <rv s="0">
    <v>https://www.bing.com/financeapi/forcetrigger?t=a1sqr7&amp;q=XNYS%3aFDX&amp;form=skydnc</v>
    <v>Learn more on Bing</v>
  </rv>
  <rv s="1">
    <v>en-US</v>
    <v>a1sqr7</v>
    <v>268435456</v>
    <v>1</v>
    <v>Powered by Refinitiv</v>
    <v>0</v>
    <v>FEDEX CORPORATION (XNYS:FDX)</v>
    <v>2</v>
    <v>3</v>
    <v>Finance</v>
    <v>4</v>
    <v>266.79349999999999</v>
    <v>141.91929999999999</v>
    <v>1.3341000000000001</v>
    <v>2.855</v>
    <v>1.6795000000000001E-2</v>
    <v>USD</v>
    <v>FedEx Corporation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v>
    <v>191000</v>
    <v>New York Stock Exchange</v>
    <v>XNYS</v>
    <v>XNYS</v>
    <v>942 South Shady Grove Road, MEMPHIS, TN, 38120-4117 US</v>
    <v>174.56</v>
    <v>Freight &amp; Logistics Services</v>
    <v>Stock</v>
    <v>44917.737070485935</v>
    <v>560</v>
    <v>167.68</v>
    <v>43625576749</v>
    <v>FEDEX CORPORATION</v>
    <v>FEDEX CORPORATION</v>
    <v>167.9</v>
    <v>13.342000000000001</v>
    <v>169.99</v>
    <v>172.845</v>
    <v>252397100</v>
    <v>FDX</v>
    <v>FEDEX CORPORATION (XNYS:FDX)</v>
    <v>2215384</v>
    <v>2434529</v>
    <v>1997</v>
  </rv>
  <rv s="2">
    <v>561</v>
  </rv>
  <rv s="0">
    <v>https://www.bing.com/financeapi/forcetrigger?t=a1rew7&amp;q=XNYS%3aDVN&amp;form=skydnc</v>
    <v>Learn more on Bing</v>
  </rv>
  <rv s="1">
    <v>en-US</v>
    <v>a1rew7</v>
    <v>268435456</v>
    <v>1</v>
    <v>Powered by Refinitiv</v>
    <v>0</v>
    <v>DEVON ENERGY CORPORATION (XNYS:DVN)</v>
    <v>2</v>
    <v>3</v>
    <v>Finance</v>
    <v>4</v>
    <v>79.400000000000006</v>
    <v>40.700000000000003</v>
    <v>2.4066000000000001</v>
    <v>-2.3199999999999998</v>
    <v>-3.7565000000000001E-2</v>
    <v>USD</v>
    <v>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Oklahoma’s Canadian, Kingfisher and Blaine counties. The Williston Basin is located entirely on the Fort Berthold Indian Reservation consisting of approximately 85,000 net acres.</v>
    <v>1600</v>
    <v>New York Stock Exchange</v>
    <v>XNYS</v>
    <v>XNYS</v>
    <v>333 W Sheridan Ave, OKLAHOMA CITY, OK, 73102 US</v>
    <v>61.75</v>
    <v>Oil &amp; Gas</v>
    <v>Stock</v>
    <v>44917.737105126565</v>
    <v>563</v>
    <v>59.38</v>
    <v>38855928000</v>
    <v>DEVON ENERGY CORPORATION</v>
    <v>DEVON ENERGY CORPORATION</v>
    <v>61.66</v>
    <v>6.4772999999999996</v>
    <v>61.76</v>
    <v>59.44</v>
    <v>653700000</v>
    <v>DVN</v>
    <v>DEVON ENERGY CORPORATION (XNYS:DVN)</v>
    <v>3227040</v>
    <v>10151155</v>
    <v>1999</v>
  </rv>
  <rv s="2">
    <v>564</v>
  </rv>
  <rv s="0">
    <v>https://www.bing.com/financeapi/forcetrigger?t=a1z11h&amp;q=XNYS%3aO&amp;form=skydnc</v>
    <v>Learn more on Bing</v>
  </rv>
  <rv s="1">
    <v>en-US</v>
    <v>a1z11h</v>
    <v>268435456</v>
    <v>1</v>
    <v>Powered by Refinitiv</v>
    <v>0</v>
    <v>REALTY INCOME CORPORATION (XNYS:O)</v>
    <v>2</v>
    <v>3</v>
    <v>Finance</v>
    <v>4</v>
    <v>75.400000000000006</v>
    <v>55.5</v>
    <v>0.7601</v>
    <v>-1.2525999999999999</v>
    <v>-1.9498999999999999E-2</v>
    <v>USD</v>
    <v>Realty Income Corporation is a real estate investment trust. The Company is engaged in acquiring and managing single-unit freestanding commercial properties under a long-term net lease agreement with its commercial clients. The Company owns and operates diversified portfolio of over 11,400 commercial properties. The Company’s properties are leased to over 1,100 different clients who operate in approximately 72 separate industries throughout all 50 states, as well as Puerto Rico, the United Kingdom and Spain. Its properties are leased to retail and industrial clients that have a service, non-discretionary and/or low-price-point component to their business. The Company’s property types include retail, industrial, and agriculture.</v>
    <v>367</v>
    <v>New York Stock Exchange</v>
    <v>XNYS</v>
    <v>XNYS</v>
    <v>11995 El Camino Real, SAN DIEGO, CA, 92130 US</v>
    <v>64.2</v>
    <v>Residential &amp; Commercial REIT</v>
    <v>Stock</v>
    <v>44917.737092256248</v>
    <v>566</v>
    <v>62.987400000000001</v>
    <v>39502793560</v>
    <v>REALTY INCOME CORPORATION</v>
    <v>REALTY INCOME CORPORATION</v>
    <v>63.9</v>
    <v>60.068300000000001</v>
    <v>64.239999999999995</v>
    <v>62.987400000000001</v>
    <v>627153900</v>
    <v>O</v>
    <v>REALTY INCOME CORPORATION (XNYS:O)</v>
    <v>1191598</v>
    <v>4536707</v>
    <v>1997</v>
  </rv>
  <rv s="2">
    <v>567</v>
  </rv>
  <rv s="0">
    <v>https://www.bing.com/financeapi/forcetrigger?t=a227lh&amp;q=XNAS%3aROST&amp;form=skydnc</v>
    <v>Learn more on Bing</v>
  </rv>
  <rv s="1">
    <v>en-US</v>
    <v>a227lh</v>
    <v>268435456</v>
    <v>1</v>
    <v>Powered by Refinitiv</v>
    <v>0</v>
    <v>ROSS STORES, INC. (XNAS:ROST)</v>
    <v>2</v>
    <v>3</v>
    <v>Finance</v>
    <v>4</v>
    <v>120.38500000000001</v>
    <v>69.239999999999995</v>
    <v>0.99729999999999996</v>
    <v>-2.19</v>
    <v>-1.9021999999999997E-2</v>
    <v>USD</v>
    <v>Ross Stores, Inc. is engaged in operating two brands of off-price retail apparel and home fashion stores-Ross Dress for Less (Ross) and dd's DISCOUNTS. Ross is an off-price apparel and home fashion chain in the United States, the District of Columbia and Guam. Ross offers in-season, name brand and designer apparel, accessories, footwear, and home fashions for the entire family at savings of 20% to 60% off department and specialty store regular prices every day. The Company also operates dd's DISCOUNTS stores in 21 states, which offers name brand apparel, accessories, footwear, and home fashions for the entire family at savings of 20% to 70% off department and discount store regular prices every day. The Company operated a total of 1,951 stores comprised of 1,648 Ross stores and 303 dd’s DISCOUNTS stores. The Company owns and operates distribution processing facilities.</v>
    <v>100000</v>
    <v>Nasdaq Stock Market</v>
    <v>XNAS</v>
    <v>XNAS</v>
    <v>5130 Hacienda Drive, DUBLIN, CA, 94568 US</v>
    <v>113.88</v>
    <v>Specialty Retailers</v>
    <v>Stock</v>
    <v>44917.737115207812</v>
    <v>569</v>
    <v>112.5</v>
    <v>38893260740</v>
    <v>ROSS STORES, INC.</v>
    <v>ROSS STORES, INC.</v>
    <v>113.52</v>
    <v>27.944700000000001</v>
    <v>115.13</v>
    <v>112.94</v>
    <v>344371000</v>
    <v>ROST</v>
    <v>ROSS STORES, INC. (XNAS:ROST)</v>
    <v>757559</v>
    <v>3100752</v>
    <v>1989</v>
  </rv>
  <rv s="2">
    <v>570</v>
  </rv>
  <rv s="0">
    <v>https://www.bing.com/financeapi/forcetrigger?t=a1xdvh&amp;q=XNAS%3aMCHP&amp;form=skydnc</v>
    <v>Learn more on Bing</v>
  </rv>
  <rv s="1">
    <v>en-US</v>
    <v>a1xdvh</v>
    <v>268435456</v>
    <v>1</v>
    <v>Powered by Refinitiv</v>
    <v>0</v>
    <v>MICROCHIP TECHNOLOGY INCORPORATED (XNAS:MCHP)</v>
    <v>2</v>
    <v>3</v>
    <v>Finance</v>
    <v>4</v>
    <v>90</v>
    <v>54.33</v>
    <v>1.58</v>
    <v>-4.37</v>
    <v>-5.9896000000000005E-2</v>
    <v>USD</v>
    <v>Microchip Technology Incorporated is a provider of smart, connected and secure embedded control solutions. The Company's product portfolio is a combination of hardware, software and services. Its synergistic product portfolio empowers disruptive growth trends, including fifth generation, data centers, artificial intelligence and machine learning, Internet of things and edge computing, advanced driver assist systems and autonomous driving, and electric vehicles. It operates through two segments. In the semiconductor products segment, the Company designs, develops, manufactures and markets microcontrollers, development tools and analog, interface, mixed-signal, timing, wired and wireless connectivity devices, and memory products. The technology licensing segment includes sales and licensing of the Company's intellectual property. Its solutions serve approximately 124,000 customers across the industrial, automotive, consumer, aerospace and defense, communications, and computing markets.</v>
    <v>21000</v>
    <v>Nasdaq Stock Market</v>
    <v>XNAS</v>
    <v>XNAS</v>
    <v>2355 W CHANDLER BLVD, CHANDLER, AZ, 85224-6199 US</v>
    <v>71.37</v>
    <v>Semiconductors &amp; Semiconductor Equipment</v>
    <v>Stock</v>
    <v>44917.737066573434</v>
    <v>572</v>
    <v>68.540000000000006</v>
    <v>37725096733</v>
    <v>MICROCHIP TECHNOLOGY INCORPORATED</v>
    <v>MICROCHIP TECHNOLOGY INCORPORATED</v>
    <v>71.37</v>
    <v>22.256499999999999</v>
    <v>72.959999999999994</v>
    <v>68.59</v>
    <v>550008700</v>
    <v>MCHP</v>
    <v>MICROCHIP TECHNOLOGY INCORPORATED (XNAS:MCHP)</v>
    <v>3076550</v>
    <v>4348122</v>
    <v>1989</v>
  </rv>
  <rv s="2">
    <v>573</v>
  </rv>
  <rv s="0">
    <v>https://www.bing.com/financeapi/forcetrigger?t=a25xm7&amp;q=XNYS%3aWMB&amp;form=skydnc</v>
    <v>Learn more on Bing</v>
  </rv>
  <rv s="1">
    <v>en-US</v>
    <v>a25xm7</v>
    <v>268435456</v>
    <v>1</v>
    <v>Powered by Refinitiv</v>
    <v>0</v>
    <v>THE WILLIAMS COMPANIES, INC. (XNYS:WMB)</v>
    <v>2</v>
    <v>3</v>
    <v>Finance</v>
    <v>4</v>
    <v>37.97</v>
    <v>25.355</v>
    <v>1.2427999999999999</v>
    <v>-0.61499999999999999</v>
    <v>-1.8652999999999999E-2</v>
    <v>USD</v>
    <v>The Williams Companies, Inc. is an energy company. The Company’s segments include Transmission &amp; Gulf of Mexico, Northeast G&amp;P, West, and Gas &amp; NGL Marketing Services. Transmission &amp; Gulf of Mexico segment comprised of its interstate natural gas pipelines, Transco and Northwest Pipeline, as well as natural gas gathering and processing and crude oil production handling and transportation assets in the Gulf Coast region. The Northeast G&amp;P segment comprised its midstream gathering, processing and fractionation businesses in the Marcellus Shale region, and the Utica Shale region of eastern Ohio. West segment comprised its gas gathering, processing, and treating operations in the Rocky Mountain region of Colorado and Wyoming, the Barnett Shale region of north-central Texas, the Eagle Ford Shale region of South Texas, the Haynesville Shale region, and the Mid-Continent region. The Gas &amp; NGL Marketing Services segment includes its natural gas liquids (NGL) and natural gas marketing services.</v>
    <v>4783</v>
    <v>New York Stock Exchange</v>
    <v>XNYS</v>
    <v>XNYS</v>
    <v>One Williams Ctr, TULSA, OK, 74172 US</v>
    <v>32.94</v>
    <v>Oil &amp; Gas Related Equipment and Services</v>
    <v>Stock</v>
    <v>44917.737102696097</v>
    <v>575</v>
    <v>32.341000000000001</v>
    <v>39408390000</v>
    <v>THE WILLIAMS COMPANIES, INC.</v>
    <v>THE WILLIAMS COMPANIES, INC.</v>
    <v>32.840000000000003</v>
    <v>20.1478</v>
    <v>32.97</v>
    <v>32.354999999999997</v>
    <v>1218000000</v>
    <v>WMB</v>
    <v>THE WILLIAMS COMPANIES, INC. (XNYS:WMB)</v>
    <v>1848063</v>
    <v>6808449</v>
    <v>1987</v>
  </rv>
  <rv s="2">
    <v>576</v>
  </rv>
  <rv s="0">
    <v>https://www.bing.com/financeapi/forcetrigger?t=a1xaar&amp;q=XNAS%3aMAR&amp;form=skydnc</v>
    <v>Learn more on Bing</v>
  </rv>
  <rv s="1">
    <v>en-US</v>
    <v>a1xaar</v>
    <v>268435456</v>
    <v>1</v>
    <v>Powered by Refinitiv</v>
    <v>0</v>
    <v>MARRIOTT INTERNATIONAL, INC. (XNAS:MAR)</v>
    <v>2</v>
    <v>3</v>
    <v>Finance</v>
    <v>4</v>
    <v>195.9</v>
    <v>131.01</v>
    <v>1.5666</v>
    <v>-2.8650000000000002</v>
    <v>-1.9261E-2</v>
    <v>USD</v>
    <v>Marriott International, Inc. is an operator, franchisor, and licensor of hotel, residential, and timeshare properties. The Company operates through two business segments: United States and Canada (U.S. &amp; Canada) and International. Its Classic Luxury hotel brands include JW Marriott, The Ritz-Carlton, and St. Regis. Its Distinctive Luxury hotel brands include W Hotels, The Luxury Collection, EDITION, and Bulgari. Its Classic Premium hotel brands include Marriott Hotels, Sheraton, Delta Hotels, Marriott Executive Apartments, and Marriott Vacation Club. Its Distinctive Premium hotel brands include Westin, Renaissance, Le Meridien, Autograph Collection, Gaylord Hotels, Tribute Portfolio, and Design Hotels. Its Classic Select hotel brands include Courtyard, Residence Inn, Fairfield by Marriott, SpringHill Suites, Four Points, TownePlace Suites, and Protea Hotels. Its Distinctive Select hotel brands include Aloft, AC Hotels by Marriott, Element, and Moxy.</v>
    <v>120000</v>
    <v>Nasdaq Stock Market</v>
    <v>XNAS</v>
    <v>XNAS</v>
    <v>7750 WISCONSIN AVENUE, BETHESDA, MD, 20814 US</v>
    <v>148.5</v>
    <v>Hotels &amp; Entertainment Services</v>
    <v>Stock</v>
    <v>44917.737102592189</v>
    <v>578</v>
    <v>145.85</v>
    <v>46178379546</v>
    <v>MARRIOTT INTERNATIONAL, INC.</v>
    <v>MARRIOTT INTERNATIONAL, INC.</v>
    <v>147.22999999999999</v>
    <v>22.6996</v>
    <v>148.75</v>
    <v>145.88499999999999</v>
    <v>316539600</v>
    <v>MAR</v>
    <v>MARRIOTT INTERNATIONAL, INC. (XNAS:MAR)</v>
    <v>707977</v>
    <v>1977928</v>
    <v>1997</v>
  </rv>
  <rv s="2">
    <v>579</v>
  </rv>
  <rv s="0">
    <v>https://www.bing.com/financeapi/forcetrigger?t=a1qgcw&amp;q=XNAS%3aCTAS&amp;form=skydnc</v>
    <v>Learn more on Bing</v>
  </rv>
  <rv s="1">
    <v>en-US</v>
    <v>a1qgcw</v>
    <v>268435456</v>
    <v>1</v>
    <v>Powered by Refinitiv</v>
    <v>0</v>
    <v>CINTAS CORPORATION (XNAS:CTAS)</v>
    <v>2</v>
    <v>3</v>
    <v>Finance</v>
    <v>4</v>
    <v>470.23</v>
    <v>343.86</v>
    <v>1.3492</v>
    <v>-15.69</v>
    <v>-3.3786000000000004E-2</v>
    <v>USD</v>
    <v>Cintas Corporation develops uniform programs using fabric. The Company helps businesses of all types and sizes, primarily in the United States, as well as Canada and Latin America. Its segments include Uniform Rental and Facility Services, and First Aid and Safety Services. Uniform Rental and Facility Services segment consists of the rental and servicing of uniforms and other garments, including flame-resistant clothing, mats, mops and shop towels and other ancillary items. In addition to these rental items, restroom cleaning services and supplies and the sale of items from its catalogues to its customers on route are included within this segment. First Aid and Safety Services segment consists of first aid and safety products and services. The remainder of its segments, which consists of the Fire Protection Services segment and the Uniform Direct Sale segment, is included in All Other. It provides its products and services to small service and manufacturing companies to corporations.</v>
    <v>43000</v>
    <v>Nasdaq Stock Market</v>
    <v>XNAS</v>
    <v>XNAS</v>
    <v>PO Box 625737, 6800 Cintas Blvd, CINCINNATI, OH, 45262 US</v>
    <v>460.71</v>
    <v>Professional &amp; Commercial Services</v>
    <v>Stock</v>
    <v>44917.737044803122</v>
    <v>581</v>
    <v>448.7</v>
    <v>45563376110</v>
    <v>CINTAS CORPORATION</v>
    <v>CINTAS CORPORATION</v>
    <v>460.38</v>
    <v>37.742899999999999</v>
    <v>464.39</v>
    <v>448.7</v>
    <v>101545300</v>
    <v>CTAS</v>
    <v>CINTAS CORPORATION (XNAS:CTAS)</v>
    <v>133383</v>
    <v>373914</v>
    <v>1986</v>
  </rv>
  <rv s="2">
    <v>582</v>
  </rv>
  <rv s="0">
    <v>https://www.bing.com/financeapi/forcetrigger?t=a1n7pr&amp;q=XNYS%3aAJG&amp;form=skydnc</v>
    <v>Learn more on Bing</v>
  </rv>
  <rv s="1">
    <v>en-US</v>
    <v>a1n7pr</v>
    <v>268435456</v>
    <v>1</v>
    <v>Powered by Refinitiv</v>
    <v>0</v>
    <v>ARTHUR J. GALLAGHER &amp; CO. (XNYS:AJG)</v>
    <v>2</v>
    <v>3</v>
    <v>Finance</v>
    <v>4</v>
    <v>201.51</v>
    <v>147.32499999999999</v>
    <v>0.6996</v>
    <v>-2.2195999999999998</v>
    <v>-1.1714E-2</v>
    <v>USD</v>
    <v>Arthur J. Gallagher &amp; Co. and its subsidiaries are engaged in providing insurance brokerage, consulting, and third-party property/casualty claims settlement and administration services to businesses and organizations around the world. The Company's segments include brokerage, risk management and corporate. Its brokerage segment operations provide brokerage and consulting services to companies and entities of all types, including commercial, not-for-profit and public entities. Its risk management segment operations provide contract claim settlement, claim administration, loss control services and risk management consulting for commercial, not for profit, captive and public entities, and various other organizations that choose to self-insure property/casualty coverages or choose to use a third-party claims management organization. It has operations in approximately 68 countries and offers client-service capabilities in over 150 countries globally.</v>
    <v>39000</v>
    <v>New York Stock Exchange</v>
    <v>XNYS</v>
    <v>XNYS</v>
    <v>2850 Golf Road, ROLLING MEADOWS, IL, 60008-4050 US</v>
    <v>188.9</v>
    <v>Insurance</v>
    <v>Stock</v>
    <v>44917.736831897659</v>
    <v>584</v>
    <v>187.26</v>
    <v>39481982736</v>
    <v>ARTHUR J. GALLAGHER &amp; CO.</v>
    <v>ARTHUR J. GALLAGHER &amp; CO.</v>
    <v>188.9</v>
    <v>37.261899999999997</v>
    <v>189.48</v>
    <v>187.2604</v>
    <v>210840000</v>
    <v>AJG</v>
    <v>ARTHUR J. GALLAGHER &amp; CO. (XNYS:AJG)</v>
    <v>164832</v>
    <v>850697</v>
    <v>1972</v>
  </rv>
  <rv s="2">
    <v>585</v>
  </rv>
  <rv s="0">
    <v>https://www.bing.com/financeapi/forcetrigger?t=a1swsm&amp;q=XNYS%3aFIS&amp;form=skydnc</v>
    <v>Learn more on Bing</v>
  </rv>
  <rv s="1">
    <v>en-US</v>
    <v>a1swsm</v>
    <v>268435456</v>
    <v>1</v>
    <v>Powered by Refinitiv</v>
    <v>0</v>
    <v>FIDELITY NATIONAL INFORMATION SERVICES, INC. (XNYS:FIS)</v>
    <v>2</v>
    <v>3</v>
    <v>Finance</v>
    <v>4</v>
    <v>122.06</v>
    <v>56.53</v>
    <v>0.8286</v>
    <v>-1.69</v>
    <v>-2.5291999999999999E-2</v>
    <v>USD</v>
    <v>Fidelity National Information Services, Inc. is a provider of technology solutions for merchants, banks, and capital markets firms globally. The Company’s segments include Merchant Solutions (Merchant), Banking Solutions (Banking) and Capital Market Solutions (Capital Markets). The Merchant segment is focused on serving merchants of all sizes globally, enabling them to accept, authorize and settle electronic payment transactions. The Banking segment is focused on serving financial institutions of all sizes with core processing software, transaction processing software and complementary applications and services, many of which interact directly with processing software. The Banking segment sells its solutions and services on either a bundled or stand-alone basis. The Capital Markets segment is focused on serving global financial services clients with a broad array of buy- and sell-side solutions.</v>
    <v>65000</v>
    <v>New York Stock Exchange</v>
    <v>XNYS</v>
    <v>XNYS</v>
    <v>347 Riverside Avenue, JACKSONVILLE, FL, 32202 US</v>
    <v>66.680000000000007</v>
    <v>Financial Technology (Fintech) &amp; Infrastructure</v>
    <v>Stock</v>
    <v>44917.737055613281</v>
    <v>587</v>
    <v>65.020600000000002</v>
    <v>38646806835</v>
    <v>FIDELITY NATIONAL INFORMATION SERVICES, INC.</v>
    <v>FIDELITY NATIONAL INFORMATION SERVICES, INC.</v>
    <v>66.06</v>
    <v>43.6111</v>
    <v>66.819999999999993</v>
    <v>65.13</v>
    <v>593379500</v>
    <v>FIS</v>
    <v>FIDELITY NATIONAL INFORMATION SERVICES, INC. (XNYS:FIS)</v>
    <v>1694250</v>
    <v>8092551</v>
    <v>2001</v>
  </rv>
  <rv s="2">
    <v>588</v>
  </rv>
  <rv s="0">
    <v>https://www.bing.com/financeapi/forcetrigger?t=a1vqnm&amp;q=XNYS%3aTT&amp;form=skydnc</v>
    <v>Learn more on Bing</v>
  </rv>
  <rv s="1">
    <v>en-US</v>
    <v>a1vqnm</v>
    <v>268435456</v>
    <v>1</v>
    <v>Powered by Refinitiv</v>
    <v>0</v>
    <v>Trane Technologies plc (XNYS:TT)</v>
    <v>2</v>
    <v>3</v>
    <v>Finance</v>
    <v>4</v>
    <v>203.33500000000001</v>
    <v>120.64</v>
    <v>1.0654999999999999</v>
    <v>-4.1399999999999997</v>
    <v>-2.4216000000000001E-2</v>
    <v>USD</v>
    <v>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v>
    <v>37000</v>
    <v>New York Stock Exchange</v>
    <v>XNYS</v>
    <v>XNYS</v>
    <v>170/175 Lakeview Drive, Airside Business Park, Swords,, SWORDS, DUBLIN IE</v>
    <v>168.96</v>
    <v>Machinery, Equipment &amp; Components</v>
    <v>Stock</v>
    <v>44917.737076376565</v>
    <v>590</v>
    <v>166.7</v>
    <v>38419863786</v>
    <v>Trane Technologies plc</v>
    <v>Trane Technologies plc</v>
    <v>168.96</v>
    <v>24.343800000000002</v>
    <v>170.96</v>
    <v>166.82</v>
    <v>230307300</v>
    <v>TT</v>
    <v>Trane Technologies plc (XNYS:TT)</v>
    <v>263288</v>
    <v>1215773</v>
    <v>2009</v>
  </rv>
  <rv s="2">
    <v>591</v>
  </rv>
  <rv s="0">
    <v>https://www.bing.com/financeapi/forcetrigger?t=a1uvar&amp;q=XNYS%3aLHX&amp;form=skydnc</v>
    <v>Learn more on Bing</v>
  </rv>
  <rv s="1">
    <v>en-US</v>
    <v>a1uvar</v>
    <v>268435456</v>
    <v>1</v>
    <v>Powered by Refinitiv</v>
    <v>0</v>
    <v>L3HARRIS TECHNOLOGIES, INC. (XNYS:LHX)</v>
    <v>2</v>
    <v>3</v>
    <v>Finance</v>
    <v>4</v>
    <v>279.70999999999998</v>
    <v>202.97</v>
    <v>0.74029999999999996</v>
    <v>-3.4</v>
    <v>-1.6427000000000001E-2</v>
    <v>USD</v>
    <v>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v>
    <v>47000</v>
    <v>New York Stock Exchange</v>
    <v>XNYS</v>
    <v>XNYS</v>
    <v>1025 W Nasa Blvd, MELBOURNE, FL, 32919-0001 US</v>
    <v>207.2</v>
    <v>Aerospace &amp; Defense</v>
    <v>Stock</v>
    <v>44917.737128495311</v>
    <v>593</v>
    <v>203.36</v>
    <v>38762202024</v>
    <v>L3HARRIS TECHNOLOGIES, INC.</v>
    <v>L3HARRIS TECHNOLOGIES, INC.</v>
    <v>206.36</v>
    <v>36.005099999999999</v>
    <v>206.98</v>
    <v>203.58</v>
    <v>190402800</v>
    <v>LHX</v>
    <v>L3HARRIS TECHNOLOGIES, INC. (XNYS:LHX)</v>
    <v>424132</v>
    <v>1126041</v>
    <v>1926</v>
  </rv>
  <rv s="2">
    <v>594</v>
  </rv>
  <rv s="0">
    <v>https://www.bing.com/financeapi/forcetrigger?t=a1pxbh&amp;q=XNYS%3aCMG&amp;form=skydnc</v>
    <v>Learn more on Bing</v>
  </rv>
  <rv s="1">
    <v>en-US</v>
    <v>a1pxbh</v>
    <v>268435456</v>
    <v>1</v>
    <v>Powered by Refinitiv</v>
    <v>0</v>
    <v>CHIPOTLE MEXICAN GRILL, INC. (XNYS:CMG)</v>
    <v>2</v>
    <v>3</v>
    <v>Finance</v>
    <v>4</v>
    <v>1776.67</v>
    <v>1196.28</v>
    <v>1.2554000000000001</v>
    <v>-34.19</v>
    <v>-2.3990000000000001E-2</v>
    <v>USD</v>
    <v>Chipotle Mexican Grill, Inc. together with its subsidiaries owns and operates Chipotle Mexican Grill restaurants. The Company’s Chipotle Mexican Grill restaurants serves a relevant menu of burritos, burrito bowls (a burrito without the tortilla), quesadillas, tacos, and salads. The Company owns and operates approximately 2,918 Chipotle restaurants throughout the United States, 44 international Chipotle restaurants, and four non-Chipotle restaurants. In its Chipotle restaurants, the Company serves only meats and brand these meats as Responsibly Raised. The Company manages its operations based on eight regions. It sells gift cards, which do not have expiration dates. The Company’s subsidiaries include Chipotle Mexican Grill, Corp.; Nova Scotia, Chipotle Mexican Grill, SAS; France Chipotle, Grill Germany GMBH; Chipotle Mexican Grill of Berwyn Heights, LLC; Chipotle Services, LLC; Chipotle Texas, LLC; CMG Concessions, LLC; CMG of Prince Georges, LLC and other.</v>
    <v>97660</v>
    <v>New York Stock Exchange</v>
    <v>XNYS</v>
    <v>XNYS</v>
    <v>610 Newport Center Dr, Suite 1100, NEWPORT BEACH, CA, 92660 US</v>
    <v>1413.4549999999999</v>
    <v>Hotels &amp; Entertainment Services</v>
    <v>Stock</v>
    <v>44917.73707770781</v>
    <v>596</v>
    <v>1388.5528999999999</v>
    <v>38560064010</v>
    <v>CHIPOTLE MEXICAN GRILL, INC.</v>
    <v>CHIPOTLE MEXICAN GRILL, INC.</v>
    <v>1409.07</v>
    <v>49.605699999999999</v>
    <v>1425.19</v>
    <v>1391</v>
    <v>27721110</v>
    <v>CMG</v>
    <v>CHIPOTLE MEXICAN GRILL, INC. (XNYS:CMG)</v>
    <v>94106</v>
    <v>252179</v>
    <v>1998</v>
  </rv>
  <rv s="2">
    <v>597</v>
  </rv>
  <rv s="0">
    <v>https://www.bing.com/financeapi/forcetrigger?t=a23wlh&amp;q=XNYS%3aSYY&amp;form=skydnc</v>
    <v>Learn more on Bing</v>
  </rv>
  <rv s="1">
    <v>en-US</v>
    <v>a23wlh</v>
    <v>268435456</v>
    <v>1</v>
    <v>Powered by Refinitiv</v>
    <v>0</v>
    <v>SYSCO CORPORATION (XNYS:SYY)</v>
    <v>2</v>
    <v>3</v>
    <v>Finance</v>
    <v>4</v>
    <v>91.529600000000002</v>
    <v>70.61</v>
    <v>1.0979000000000001</v>
    <v>-0.95</v>
    <v>-1.2315E-2</v>
    <v>USD</v>
    <v>Sysco Corporation is engaged in selling, marketing and distributing food products to restaurants, healthcare and educational facilities, lodging establishments and other customers who prepare meals away from home. The Company operates in three reportable segments: U.S. Foodservice Operations, International Foodservice Operations and SYGMA. U.S. Foodservice Operations includes the Company’s US Broadline operations, which distribute a full line of food products, including custom-cut meat, seafood, produce, specialty Italian, specialty imports and a wide variety of non-food products. International Foodservice Operations includes operations outside of the United States, which distribute a full line of food products and a wide variety of non-food products, and its operations are held in Canada, Bahamas, Mexico, Costa Rica and Panama. The SYGMA segment includes the Company's United States customized distribution operations serving quick-service chain restaurant customer locations.</v>
    <v>71000</v>
    <v>New York Stock Exchange</v>
    <v>XNYS</v>
    <v>XNYS</v>
    <v>1390 Enclave Pkwy, HOUSTON, TX, 77077 US</v>
    <v>76.594999999999999</v>
    <v>Food &amp; Drug Retailing</v>
    <v>Stock</v>
    <v>44917.737105810156</v>
    <v>599</v>
    <v>76.03</v>
    <v>38610615825</v>
    <v>SYSCO CORPORATION</v>
    <v>SYSCO CORPORATION</v>
    <v>76.52</v>
    <v>27.325099999999999</v>
    <v>77.14</v>
    <v>76.19</v>
    <v>506767500</v>
    <v>SYY</v>
    <v>SYSCO CORPORATION (XNYS:SYY)</v>
    <v>636103</v>
    <v>2026291</v>
    <v>1969</v>
  </rv>
  <rv s="2">
    <v>600</v>
  </rv>
  <rv s="0">
    <v>https://www.bing.com/financeapi/forcetrigger?t=a1xth7&amp;q=XNAS%3aMNST&amp;form=skydnc</v>
    <v>Learn more on Bing</v>
  </rv>
  <rv s="1">
    <v>en-US</v>
    <v>a1xth7</v>
    <v>268435456</v>
    <v>1</v>
    <v>Powered by Refinitiv</v>
    <v>0</v>
    <v>MONSTER BEVERAGE CORPORATION (XNAS:MNST)</v>
    <v>2</v>
    <v>3</v>
    <v>Finance</v>
    <v>4</v>
    <v>104.65</v>
    <v>71.775000000000006</v>
    <v>0.89980000000000004</v>
    <v>-1.99</v>
    <v>-1.9518999999999998E-2</v>
    <v>USD</v>
    <v>Monster Beverage Corporation is a holding company. The Company, through its subsidiaries, develops, markets, sells and distributes energy drink beverages and concentrates for energy drink beverages, under various brand names, including Monster Energy, Monster Energy Ultra, Monster Rehab, Java Monster, Muscle Monster, Espresso Monster, Punch Monster, Juice Monster, Monster HydroSport Super Fuel, Monster Super Fuel, Predator, Fury, Reign Total Body Fuel, Reign Inferno Thermogenic Fuel, Monster Dragon Tea, NOS, Full Throttle, Burn, Mother, Nalu, Ultra Energy, Play and Power Play, BPM, BU, Gladiator, Samurai and Live+. Its segments include Monster Energy Drinks segment, which consists of its Monster Energy drinks and Reign Total Body Fuel performance energy drinks; Strategic Brands segment, which includes various energy drink brands; Alcohol Brands segment, which includes various craft beers and hard seltzers; and Other segment, which includes products sold to the third-party customers.</v>
    <v>4092</v>
    <v>Nasdaq Stock Market</v>
    <v>XNAS</v>
    <v>XNAS</v>
    <v>1 Monster Way, CORONA, CA, 92879-7101 US</v>
    <v>101.34</v>
    <v>Beverages</v>
    <v>Stock</v>
    <v>44917.736988738281</v>
    <v>602</v>
    <v>99.875</v>
    <v>52153490256</v>
    <v>MONSTER BEVERAGE CORPORATION</v>
    <v>MONSTER BEVERAGE CORPORATION</v>
    <v>101.19</v>
    <v>45.019799999999996</v>
    <v>101.95</v>
    <v>99.96</v>
    <v>521743600</v>
    <v>MNST</v>
    <v>MONSTER BEVERAGE CORPORATION (XNAS:MNST)</v>
    <v>426316</v>
    <v>2105327</v>
    <v>2014</v>
  </rv>
  <rv s="2">
    <v>603</v>
  </rv>
  <rv s="0">
    <v>https://www.bing.com/financeapi/forcetrigger?t=a1ultc&amp;q=XNYS%3aHES&amp;form=skydnc</v>
    <v>Learn more on Bing</v>
  </rv>
  <rv s="1">
    <v>en-US</v>
    <v>a1ultc</v>
    <v>268435456</v>
    <v>1</v>
    <v>Powered by Refinitiv</v>
    <v>0</v>
    <v>HESS CORPORATION (XNYS:HES)</v>
    <v>2</v>
    <v>3</v>
    <v>Finance</v>
    <v>4</v>
    <v>149.83000000000001</v>
    <v>72.38</v>
    <v>1.5777000000000001</v>
    <v>-5.3150000000000004</v>
    <v>-3.7886000000000003E-2</v>
    <v>USD</v>
    <v>Hess Corporation is an exploration and production company. The Company is engaged in exploration, development, production, transportation, purchase and sale of crude oil, natural gas liquids (NGLs), and natural gas, with production operations located primarily in the United States, Guyana, the Malaysia/Thailand Joint Development Area (JDA), and Malaysia. The Company operates through two segments: Exploration and Production and Midstream. The Exploration and Production segment explores for, develops, produces, purchases and sells crude oil, NGL and natural gas. The Midstream segment provides fee-based services, including crude oil and natural gas gathering, processing of natural gas and the fractionation of NGL, transportation of crude oil by rail car, terminalling and loading crude oil and NGL, storing and terminalling propane, and water handling services primarily in the Bakken shale play in the Williston Basin area of North Dakota.</v>
    <v>1545</v>
    <v>New York Stock Exchange</v>
    <v>XNYS</v>
    <v>XNYS</v>
    <v>1185 AVENUE OF THE AMERICAS, NEW YORK, NY, 10036 US</v>
    <v>140.19</v>
    <v>Oil &amp; Gas</v>
    <v>Stock</v>
    <v>44917.737114178126</v>
    <v>605</v>
    <v>134.76</v>
    <v>41613939787</v>
    <v>HESS CORPORATION</v>
    <v>HESS CORPORATION</v>
    <v>140.03</v>
    <v>23.3384</v>
    <v>140.29</v>
    <v>134.97499999999999</v>
    <v>308308500</v>
    <v>HES</v>
    <v>HESS CORPORATION (XNYS:HES)</v>
    <v>362278</v>
    <v>1776995</v>
    <v>1920</v>
  </rv>
  <rv s="2">
    <v>606</v>
  </rv>
  <rv s="0">
    <v>https://www.bing.com/financeapi/forcetrigger?t=ay4lu2&amp;q=XNAS%3aXEL&amp;form=skydnc</v>
    <v>Learn more on Bing</v>
  </rv>
  <rv s="1">
    <v>en-US</v>
    <v>ay4lu2</v>
    <v>268435456</v>
    <v>1</v>
    <v>Powered by Refinitiv</v>
    <v>0</v>
    <v>Xcel Energy Inc. (XNAS:XEL)</v>
    <v>2</v>
    <v>3</v>
    <v>Finance</v>
    <v>4</v>
    <v>77.66</v>
    <v>56.89</v>
    <v>0.41520000000000001</v>
    <v>-1.1299999999999999</v>
    <v>-1.6049000000000001E-2</v>
    <v>USD</v>
    <v>Xcel Energy Inc. is an electric and natural gas delivery company. The Company provides a portfolio of energy-related products and services through its four utility subsidiaries. Its segments include Regulated Electric and Regulated Natural Gas. The Regulated Electric utility segment generates, transmits, and distributes electricity in Minnesota, Wisconsin, Michigan, North Dakota, South Dakota, Colorado, Texas and New Mexico. In addition, it also engaged in the sales for resale and provides wholesale transmission service to various entities in the United States. The Regulated Natural Gas segment transports, stores and distributes natural gas primarily in portions of Minnesota, Wisconsin, North Dakota, Michigan and Colorado. Its utility subsidiaries include NSP-Minnesota, NSP-Wisconsin, Public Service Company of Colorado, and Southwestern Public Service Co. (SPS). The Company also offers residential services, such as heating and cooling solutions and home services.</v>
    <v>11321</v>
    <v>Nasdaq Stock Market</v>
    <v>XNAS</v>
    <v>XNAS</v>
    <v>414 Nicollet Mall, MINNEAPOLIS, MN, 55401 US</v>
    <v>70.27</v>
    <v>Electrical Utilities &amp; IPPs</v>
    <v>Stock</v>
    <v>44917.737054640624</v>
    <v>608</v>
    <v>69.27</v>
    <v>37913376080</v>
    <v>Xcel Energy Inc.</v>
    <v>Xcel Energy Inc.</v>
    <v>70.12</v>
    <v>22.991800000000001</v>
    <v>70.41</v>
    <v>69.28</v>
    <v>547248500</v>
    <v>XEL</v>
    <v>Xcel Energy Inc. (XNAS:XEL)</v>
    <v>587121</v>
    <v>2789856</v>
    <v>1909</v>
  </rv>
  <rv s="2">
    <v>609</v>
  </rv>
  <rv s="0">
    <v>https://www.bing.com/financeapi/forcetrigger?t=a1xz1h&amp;q=XNYS%3aMSCI&amp;form=skydnc</v>
    <v>Learn more on Bing</v>
  </rv>
  <rv s="1">
    <v>en-US</v>
    <v>a1xz1h</v>
    <v>268435456</v>
    <v>1</v>
    <v>Powered by Refinitiv</v>
    <v>0</v>
    <v>MSCI INC. (XNYS:MSCI)</v>
    <v>2</v>
    <v>3</v>
    <v>Finance</v>
    <v>4</v>
    <v>623.16</v>
    <v>376.41</v>
    <v>1.103</v>
    <v>-13.23</v>
    <v>-2.8008000000000002E-2</v>
    <v>USD</v>
    <v>MSCI Inc. is a provider of critical decision support tools and solutions for the global investment community. Its operating segments include Index, Analytics, ESG and Climate, and All Other - Private Assets. Its indexes are used in various areas of the investment process, including indexed product creation, performance benchmarking, portfolio construction and rebalancing, and asset allocation. The Analytics segment offers risk management, performance attribution and portfolio management content, applications, and services. Its ESG and Climate segment offerings include MSCI ESG Ratings, MSCI ESG Business Involvement Screening Research, and MSCI Climate Solutions. The Company’s All Other segment comprises the Real Estate and Burgiss segments. The Real Estate segment offerings include real estate market and transaction data, benchmarks, return-analytics, climate assessments and market insights for funds, investors, managers, and other real estate market participants.</v>
    <v>4767</v>
    <v>New York Stock Exchange</v>
    <v>XNYS</v>
    <v>XNYS</v>
    <v>250 Greenwich Street, 49Th Floor, 7 World Trade Center, NEW YORK, NY, 10007 US</v>
    <v>469.1</v>
    <v>Professional &amp; Commercial Services</v>
    <v>Stock</v>
    <v>44917.73664459453</v>
    <v>611</v>
    <v>458.77330000000001</v>
    <v>36711194592</v>
    <v>MSCI INC.</v>
    <v>MSCI INC.</v>
    <v>469.1</v>
    <v>45.576599999999999</v>
    <v>472.36</v>
    <v>459.13</v>
    <v>79958170</v>
    <v>MSCI</v>
    <v>MSCI INC. (XNYS:MSCI)</v>
    <v>129663</v>
    <v>431824</v>
    <v>1998</v>
  </rv>
  <rv s="2">
    <v>612</v>
  </rv>
  <rv s="0">
    <v>https://www.bing.com/financeapi/forcetrigger?t=aw2c52&amp;q=XNYS%3aIQV&amp;form=skydnc</v>
    <v>Learn more on Bing</v>
  </rv>
  <rv s="1">
    <v>en-US</v>
    <v>aw2c52</v>
    <v>268435456</v>
    <v>1</v>
    <v>Powered by Refinitiv</v>
    <v>0</v>
    <v>IQVIA HOLDINGS INC (XNYS:IQV)</v>
    <v>2</v>
    <v>3</v>
    <v>Finance</v>
    <v>4</v>
    <v>285.61</v>
    <v>165.75</v>
    <v>1.3774</v>
    <v>-3.266</v>
    <v>-1.5966999999999999E-2</v>
    <v>USD</v>
    <v>IQVIA Holdings Inc. is a global provider of advanced analytics, technology solutions and clinical research services to the life sciences industry. The Company operates through three segments: Technology &amp; Analytics Solutions, Research &amp; Development Solutions and Contract Sales &amp; Medical Solutions. The Technology &amp; Analytics Solutions segment provides critical information, technology solutions and real-world insights and services to the Company's life science clients. The Research &amp; Development Solutions segment primarily serves biopharmaceutical customers, providing outsourced clinical research and clinical trial related services. The Contract Sales &amp; Medical Solutions segment provides health care provider, including contract sales and patient engagement services to both biopharmaceutical clients and the broader healthcare market. The Company protects individual patient privacy. The Company conducts business in more than 100 countries.</v>
    <v>85000</v>
    <v>New York Stock Exchange</v>
    <v>XNYS</v>
    <v>XNYS</v>
    <v>4820 Emperor Blvd, DURHAM, NC, 27703 US</v>
    <v>204.19</v>
    <v>Biotechnology &amp; Medical Research</v>
    <v>Stock</v>
    <v>44917.736950092185</v>
    <v>614</v>
    <v>200.77</v>
    <v>37386490160</v>
    <v>IQVIA HOLDINGS INC</v>
    <v>IQVIA HOLDINGS INC</v>
    <v>202.18</v>
    <v>33.287100000000002</v>
    <v>204.55</v>
    <v>201.28399999999999</v>
    <v>185740000</v>
    <v>IQV</v>
    <v>IQVIA HOLDINGS INC (XNYS:IQV)</v>
    <v>154614</v>
    <v>1001552</v>
    <v>2016</v>
  </rv>
  <rv s="2">
    <v>615</v>
  </rv>
  <rv s="0">
    <v>https://www.bing.com/financeapi/forcetrigger?t=a23rm7&amp;q=XNYS%3aSTZ&amp;form=skydnc</v>
    <v>Learn more on Bing</v>
  </rv>
  <rv s="1">
    <v>en-US</v>
    <v>a23rm7</v>
    <v>268435456</v>
    <v>1</v>
    <v>Powered by Refinitiv</v>
    <v>0</v>
    <v>CONSTELLATION BRANDS, INC. (XNYS:STZ)</v>
    <v>2</v>
    <v>3</v>
    <v>Finance</v>
    <v>4</v>
    <v>261.52499999999998</v>
    <v>207.5916</v>
    <v>0.99790000000000001</v>
    <v>-3.8450000000000002</v>
    <v>-1.6475E-2</v>
    <v>USD</v>
    <v>Constellation Brands, Inc. is an international beverage alcohol company. The Company is a producer and marketer of beer, wine and spirits with operations in the United States, Mexico, New Zealand and Italy. Its segments include Beer, Wine and Spirits, and Canopy. It sells a number of brands in the import and craft beer categories, including Corona Extra, Corona Light, Modelo Especial, Corona Premier and others. It offers a portfolio of wine and spirits brands, which include 7 Moons, Cook’s California Champagne, Cooper &amp; Thief, Robert Mondavi Winery, Meiomi, High West, Casa Noble, The Prisoner Wine Company, Copper &amp; Kings, Casa Noble. The Canopy Equity Method Investment makes up the Canopy segment. It operates over four distilleries in the United States for the production of its spirits; two facilities for High West whiskey, one facility for Copper &amp; Kings American brandies, and one facility for Nelsons Green Brier bourbon and whiskey products.</v>
    <v>10000</v>
    <v>New York Stock Exchange</v>
    <v>XNYS</v>
    <v>XNYS</v>
    <v>BUILDING 100, 207 HIGH POINT DRIVE, VICTOR, NY, 14564 US</v>
    <v>234.05</v>
    <v>Beverages</v>
    <v>Stock</v>
    <v>44917.737021353903</v>
    <v>617</v>
    <v>229.54499999999999</v>
    <v>42343179106</v>
    <v>CONSTELLATION BRANDS, INC.</v>
    <v>CONSTELLATION BRANDS, INC.</v>
    <v>233.98</v>
    <v>720.31730000000005</v>
    <v>233.39</v>
    <v>229.54499999999999</v>
    <v>184465700</v>
    <v>STZ</v>
    <v>CONSTELLATION BRANDS, INC. (XNYS:STZ)</v>
    <v>405483</v>
    <v>1079635</v>
    <v>1972</v>
  </rv>
  <rv s="2">
    <v>618</v>
  </rv>
  <rv s="0">
    <v>https://www.bing.com/financeapi/forcetrigger?t=a23d6h&amp;q=XNYS%3aSPG&amp;form=skydnc</v>
    <v>Learn more on Bing</v>
  </rv>
  <rv s="1">
    <v>en-US</v>
    <v>a23d6h</v>
    <v>268435456</v>
    <v>1</v>
    <v>Powered by Refinitiv</v>
    <v>0</v>
    <v>SIMON PROPERTY GROUP, INC. (XNYS:SPG)</v>
    <v>2</v>
    <v>3</v>
    <v>Finance</v>
    <v>4</v>
    <v>165.83</v>
    <v>86.02</v>
    <v>1.5165999999999999</v>
    <v>-2.0299999999999998</v>
    <v>-1.7417000000000002E-2</v>
    <v>USD</v>
    <v>Simon Property Group, Inc. is a self-administered and self-managed real estate investment trust (REIT). The Company owns, develops and manages premier shopping, dining, entertainment and mixed-use destinations, which consist primarily of malls, Premium Outlets, and The Mills. The Company owns approximately 199 properties in the United States, which consist of 95 malls, 69 Premium Outlets, 14 Mills, six lifestyle centers, and 15 other retail properties in 37 states and Puerto Rico. Simon Property Group, L.P. (Operating Partnership), is the Company's partnership subsidiary that owns all of its real estate properties and other assets. In addition, the Company has redevelopment and expansion projects, including the addition of anchors, big box tenants, and restaurants, underway at several properties in North America, Europe and Asia. The Company owns an interest in approximately 33 Premium Outlets and Designer Outlet properties primarily located in Asia, Europe and Canada.</v>
    <v>2400</v>
    <v>New York Stock Exchange</v>
    <v>XNYS</v>
    <v>XNYS</v>
    <v>225 W Washington St, INDIANAPOLIS, IN, 46204-3438 US</v>
    <v>116.19</v>
    <v>Residential &amp; Commercial REIT</v>
    <v>Stock</v>
    <v>44917.737047117967</v>
    <v>620</v>
    <v>114.52</v>
    <v>39270442568</v>
    <v>SIMON PROPERTY GROUP, INC.</v>
    <v>SIMON PROPERTY GROUP, INC.</v>
    <v>115.64</v>
    <v>19.454899999999999</v>
    <v>116.55</v>
    <v>114.52</v>
    <v>342913400</v>
    <v>SPG</v>
    <v>SIMON PROPERTY GROUP, INC. (XNYS:SPG)</v>
    <v>402360</v>
    <v>1758597</v>
    <v>1998</v>
  </rv>
  <rv s="2">
    <v>621</v>
  </rv>
  <rv s="0">
    <v>https://www.bing.com/financeapi/forcetrigger?t=a1yeec&amp;q=XNYS%3aNEM&amp;form=skydnc</v>
    <v>Learn more on Bing</v>
  </rv>
  <rv s="1">
    <v>en-US</v>
    <v>a1yeec</v>
    <v>268435456</v>
    <v>1</v>
    <v>Powered by Refinitiv</v>
    <v>0</v>
    <v>NEWMONT CORPORATION (XNYS:NEM)</v>
    <v>2</v>
    <v>3</v>
    <v>Finance</v>
    <v>4</v>
    <v>86.37</v>
    <v>37.450000000000003</v>
    <v>0.28989999999999999</v>
    <v>-0.46500000000000002</v>
    <v>-9.8270000000000007E-3</v>
    <v>USD</v>
    <v>Newmont Corporation is a gold producer. The Company is also engaged in the production of copper, silver, lead and zinc. It operates through five segments: North America, South America, Australia, Africa and Nevada. The North America segment consists primarily of Cripple Creek &amp; Victor (CC&amp;V) in the United States of America, Musselwhite, Porcupine and Eleonore in Canada and Penasquito in Mexico. Its South America segment consists primarily of Yanacocha in Peru, Merian in Suriname, Cerro Negro in Argentina and has interest in the Pueblo Viejo mine in the Dominican Republic. The Company’s Australia segment consists primarily of Boddington and Tanami in Australia. Its Africa segment consists primarily of Ahafo and Akyem in Ghana. The Company’s Nevada segment included Carlin, Phoenix, Twin Creeks and Long Canyon in the United States. The Company has a gold reserve of approximately 92.8 million ounces. It also has interests in Heart Peaks, Castle, Moat, Coyote, and North ROK properties.</v>
    <v>14400</v>
    <v>New York Stock Exchange</v>
    <v>XNYS</v>
    <v>XNYS</v>
    <v>6900 E Layton Ave, Suite 700, DENVER, CO, 80237 US</v>
    <v>47.37</v>
    <v>Metals &amp; Mining</v>
    <v>Stock</v>
    <v>44917.737095914061</v>
    <v>623</v>
    <v>46.8</v>
    <v>37190626788</v>
    <v>NEWMONT CORPORATION</v>
    <v>NEWMONT CORPORATION</v>
    <v>46.9</v>
    <v>38.838099999999997</v>
    <v>47.32</v>
    <v>46.854999999999997</v>
    <v>793738700</v>
    <v>NEM</v>
    <v>NEWMONT CORPORATION (XNYS:NEM)</v>
    <v>1864173</v>
    <v>7168961</v>
    <v>2001</v>
  </rv>
  <rv s="2">
    <v>624</v>
  </rv>
  <rv s="0">
    <v>https://www.bing.com/financeapi/forcetrigger?t=a1ztzr&amp;q=XNYS%3aPH&amp;form=skydnc</v>
    <v>Learn more on Bing</v>
  </rv>
  <rv s="1">
    <v>en-US</v>
    <v>a1ztzr</v>
    <v>268435456</v>
    <v>1</v>
    <v>Powered by Refinitiv</v>
    <v>0</v>
    <v>PARKER-HANNIFIN CORPORATION (XNYS:PH)</v>
    <v>2</v>
    <v>3</v>
    <v>Finance</v>
    <v>4</v>
    <v>340</v>
    <v>230.44</v>
    <v>1.5279</v>
    <v>-6.23</v>
    <v>-2.1318E-2</v>
    <v>USD</v>
    <v>Parker-Hannifin Corporation is a manufacturer of motion and control technologies and systems, providing precision engineered solutions for a range of mobile, industrial and aerospace markets. The Company operates through two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Aerospace Systems segment produces hydraulic, fuel, pneumatic and electro-mechanical systems and components, which are utilized on domestic commercial, military and general aviation aircraft and also perform a role in naval vessels and land-based weapons systems. Its Aerospace Systems segment serves original equipment and maintenance, repair and overhaul customers around the world.</v>
    <v>55090</v>
    <v>New York Stock Exchange</v>
    <v>XNYS</v>
    <v>XNYS</v>
    <v>6035 Parkland Boulevard, CLEVELAND, OH, 44124-4141 US</v>
    <v>289.19</v>
    <v>Machinery, Equipment &amp; Components</v>
    <v>Stock</v>
    <v>44917.737066932816</v>
    <v>626</v>
    <v>285.66000000000003</v>
    <v>36725314257</v>
    <v>PARKER-HANNIFIN CORPORATION</v>
    <v>PARKER-HANNIFIN CORPORATION</v>
    <v>289.19</v>
    <v>30.399699999999999</v>
    <v>292.24</v>
    <v>286.01</v>
    <v>128405700</v>
    <v>PH</v>
    <v>PARKER-HANNIFIN CORPORATION (XNYS:PH)</v>
    <v>162291</v>
    <v>798965</v>
    <v>1938</v>
  </rv>
  <rv s="2">
    <v>627</v>
  </rv>
  <rv s="0">
    <v>https://www.bing.com/financeapi/forcetrigger?t=a218k2&amp;q=XNYS%3aPRU&amp;form=skydnc</v>
    <v>Learn more on Bing</v>
  </rv>
  <rv s="1">
    <v>en-US</v>
    <v>a218k2</v>
    <v>268435456</v>
    <v>1</v>
    <v>Powered by Refinitiv</v>
    <v>0</v>
    <v>PRUDENTIAL FINANCIAL, INC. (XNYS:PRU)</v>
    <v>2</v>
    <v>3</v>
    <v>Finance</v>
    <v>4</v>
    <v>124.22</v>
    <v>85.46</v>
    <v>1.4114</v>
    <v>-2.79</v>
    <v>-2.7799999999999998E-2</v>
    <v>USD</v>
    <v>Prudential Financial, Inc. is a holding company. The Company operates a global financial services and global investment manager. The Company, through its subsidiaries and affiliates offer an array of financial products and services, including life insurance, annuities, mutual funds and investment management. It offers these products and services to individual and institutional customers through its proprietary and third-party distribution networks. The Company has operations in the United States, Asia, Europe, and Latin America. The Company operates through seven segments: PGIM, Group Insurance, Individual Annuities, Individual Life, Assurance IQ, International Businesses and Closed Block. The PGIM segment provides investment management services and solutions related to public fixed income, public equity, real estate debt and equity, private credit and other alternatives, and others. The Individual Annuities segment develops individual variable and fixed annuity products.</v>
    <v>40916</v>
    <v>New York Stock Exchange</v>
    <v>XNYS</v>
    <v>XNYS</v>
    <v>751 BROAD ST, NEWARK, NJ, 07102 US</v>
    <v>99.79</v>
    <v>Insurance</v>
    <v>Stock</v>
    <v>44917.736899385935</v>
    <v>629</v>
    <v>97.56</v>
    <v>35905760000</v>
    <v>PRUDENTIAL FINANCIAL, INC.</v>
    <v>PRUDENTIAL FINANCIAL, INC.</v>
    <v>99.75</v>
    <v>138.91999999999999</v>
    <v>100.36</v>
    <v>97.57</v>
    <v>368000000</v>
    <v>PRU</v>
    <v>PRUDENTIAL FINANCIAL, INC. (XNYS:PRU)</v>
    <v>396838</v>
    <v>1651484</v>
    <v>1999</v>
  </rv>
  <rv s="2">
    <v>630</v>
  </rv>
  <rv s="0">
    <v>https://www.bing.com/financeapi/forcetrigger?t=a1zhcw&amp;q=XNAS%3aPAYX&amp;form=skydnc</v>
    <v>Learn more on Bing</v>
  </rv>
  <rv s="1">
    <v>en-US</v>
    <v>a1zhcw</v>
    <v>268435456</v>
    <v>1</v>
    <v>Powered by Refinitiv</v>
    <v>0</v>
    <v>PAYCHEX, INC. (XNAS:PAYX)</v>
    <v>2</v>
    <v>3</v>
    <v>Finance</v>
    <v>4</v>
    <v>141.91999999999999</v>
    <v>105.66</v>
    <v>0.98350000000000004</v>
    <v>-4.53</v>
    <v>-3.9469999999999998E-2</v>
    <v>USD</v>
    <v>Paychex, Inc. is a human capital management software and services company. It offers integrated solutions for human resources (HR), payroll, benefits and insurance services for small-to-medium-sized businesses. Its solutions bring together payroll and HCM software with HR and compliance expertise, along with flexible, personalized, and technology-enabled service capabilities. Clients have the option of making payroll online using its software as a service (SaaS) technology, outsourcing to its payroll specialists, or using a combination of those solutions. Payroll is then integrated with HCM software modules for clients who have more complex HR needs. It also provides comprehensive HR outsourcing through its administrative services organization and PEO solutions. Paychex Flex is its HCM SaaS platform that unites HR, payroll, time and attendance. Paychex Flex helps clients manage the employee life cycle from recruiting and hiring to retirement, providing an integrated suite of solutions.</v>
    <v>16000</v>
    <v>Nasdaq Stock Market</v>
    <v>XNAS</v>
    <v>XNAS</v>
    <v>911 Panorama Trail S, ROCHESTER, NY, 14625-0397 US</v>
    <v>111.99</v>
    <v>Professional &amp; Commercial Services</v>
    <v>Stock</v>
    <v>44917.737086712499</v>
    <v>632</v>
    <v>108.04</v>
    <v>39730496000</v>
    <v>PAYCHEX, INC.</v>
    <v>PAYCHEX, INC.</v>
    <v>110.64</v>
    <v>28.964200000000002</v>
    <v>114.77</v>
    <v>110.24</v>
    <v>360400000</v>
    <v>PAYX</v>
    <v>PAYCHEX, INC. (XNAS:PAYX)</v>
    <v>2155114</v>
    <v>1528226</v>
    <v>1979</v>
  </rv>
  <rv s="2">
    <v>633</v>
  </rv>
  <rv s="0">
    <v>http://fr.wikipedia.org/wiki/TE_Connectivity</v>
    <v>Wikipedia</v>
  </rv>
  <rv s="3">
    <v>3</v>
    <v>635</v>
  </rv>
  <rv s="4">
    <v>9</v>
    <v>https://www.bing.com/th?id=AMMS_e83e68f97f5001b753ff93f8a5154da3&amp;qlt=95</v>
    <v>636</v>
    <v>0</v>
    <v>https://www.bing.com/images/search?form=xlimg&amp;q=te+connectivity</v>
    <v>Image of TE Connectivity Ltd</v>
  </rv>
  <rv s="0">
    <v>https://www.bing.com/financeapi/forcetrigger?t=a244dm&amp;q=XNYS%3aTEL&amp;form=skydnc</v>
    <v>Learn more on Bing</v>
  </rv>
  <rv s="5">
    <v>en-US</v>
    <v>a244dm</v>
    <v>268435456</v>
    <v>1</v>
    <v>Powered by Refinitiv</v>
    <v>5</v>
    <v>TE Connectivity Ltd (XNYS:TEL)</v>
    <v>7</v>
    <v>8</v>
    <v>Finance</v>
    <v>4</v>
    <v>165.81</v>
    <v>104.76</v>
    <v>1.3059000000000001</v>
    <v>-2.98</v>
    <v>-2.5800999999999998E-2</v>
    <v>USD</v>
    <v>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v>
    <v>92000</v>
    <v>New York Stock Exchange</v>
    <v>XNYS</v>
    <v>XNYS</v>
    <v>Muehlenstrasse 26, SCHAFFHAUSEN, SCHAFFHAUSEN, 8200 CH</v>
    <v>115.36</v>
    <v>637</v>
    <v>Machinery, Equipment &amp; Components</v>
    <v>Stock</v>
    <v>44917.736651897656</v>
    <v>638</v>
    <v>112.51</v>
    <v>35694787112</v>
    <v>TE Connectivity Ltd</v>
    <v>TE Connectivity Ltd</v>
    <v>114.36</v>
    <v>15.4611</v>
    <v>115.5</v>
    <v>112.52</v>
    <v>317230600</v>
    <v>TEL</v>
    <v>TE Connectivity Ltd (XNYS:TEL)</v>
    <v>360103</v>
    <v>1608376</v>
    <v>2009</v>
  </rv>
  <rv s="2">
    <v>639</v>
  </rv>
  <rv s="0">
    <v>https://www.bing.com/financeapi/forcetrigger?t=a26em7&amp;q=XNYS%3aYUM&amp;form=skydnc</v>
    <v>Learn more on Bing</v>
  </rv>
  <rv s="1">
    <v>en-US</v>
    <v>a26em7</v>
    <v>268435456</v>
    <v>1</v>
    <v>Powered by Refinitiv</v>
    <v>0</v>
    <v>YUM! BRANDS, INC. (XNYS:YUM)</v>
    <v>2</v>
    <v>3</v>
    <v>Finance</v>
    <v>4</v>
    <v>139.85</v>
    <v>103.965</v>
    <v>0.99580000000000002</v>
    <v>-1.46</v>
    <v>-1.1337E-2</v>
    <v>USD</v>
    <v>YUM! Brands, Inc. franchises or operates a system of approximately 53,000 restaurants in 157 countries and territories under the concepts of KFC, Taco Bell, Pizza Hut and The Habit Burger Grill. Its segments include The KFC Division, which includes its worldwide operations of the KFC concept; The Taco Bell Division, which includes its worldwide operations of the Taco Bell concept; The Pizza Hut Division, which includes its worldwide operations of the Pizza Hut concept, and The Habit Burger Grill Division, which includes its worldwide operations of the Habit Burger Grill concept. It develops, operates or franchises a system of both traditional and non-traditional restaurants. KFC offer fried and non-fried chicken products. Taco Bell specializes in Mexican-style food products. Pizza Hut specializes in the sale of ready-to-eat pizza products. The Habit Burger Grill specializes in chargrilled burgers and sandwiches made-to-order over an open flame and topped with fresh ingredients.</v>
    <v>36000</v>
    <v>New York Stock Exchange</v>
    <v>XNYS</v>
    <v>XNYS</v>
    <v>1441 Gardiner Ln, LOUISVILLE, KY, 40213 US</v>
    <v>128.88</v>
    <v>Hotels &amp; Entertainment Services</v>
    <v>Stock</v>
    <v>44917.736988553123</v>
    <v>641</v>
    <v>127.32</v>
    <v>35864503428</v>
    <v>YUM! BRANDS, INC.</v>
    <v>YUM! BRANDS, INC.</v>
    <v>128.88</v>
    <v>29.336600000000001</v>
    <v>128.78</v>
    <v>127.32</v>
    <v>281687900</v>
    <v>YUM</v>
    <v>YUM! BRANDS, INC. (XNYS:YUM)</v>
    <v>462691</v>
    <v>1961480</v>
    <v>1997</v>
  </rv>
  <rv s="2">
    <v>642</v>
  </rv>
  <rv s="0">
    <v>https://www.bing.com/financeapi/forcetrigger?t=a1nanm&amp;q=XNYS%3aALL&amp;form=skydnc</v>
    <v>Learn more on Bing</v>
  </rv>
  <rv s="1">
    <v>en-US</v>
    <v>a1nanm</v>
    <v>268435456</v>
    <v>1</v>
    <v>Powered by Refinitiv</v>
    <v>0</v>
    <v>THE ALLSTATE CORPORATION (XNYS:ALL)</v>
    <v>2</v>
    <v>3</v>
    <v>Finance</v>
    <v>4</v>
    <v>144.46</v>
    <v>111.85</v>
    <v>0.61619999999999997</v>
    <v>-0.52780000000000005</v>
    <v>-3.9199999999999999E-3</v>
    <v>USD</v>
    <v>The Allstate Corporation is a holding company for Allstate Insurance Company. The Company's business is conducted principally through Allstate Insurance Company and other subsidiaries. It is primarily engaged in the property and casualty insurance business in the United States and Canada. Its segments include Allstate Protection, Run-off Property-Liability, Protection Services, Allstate Health and Benefits and Corporate and Other. The Allstate Protection segment offers private passenger auto, homeowners, other personal lines, and commercial insurance through agents, contact centers and online. The Run-off Property-Liability segment includes property and casualty insurance coverage. The Protection Services segment includes Allstate Protection Plans, Allstate Dealer Services, Allstate Roadside, Arity and Allstate Identity Protection. The Allstate Health and Benefits segment offers voluntary benefits and individual life and health products, and other health insurance products.</v>
    <v>54300</v>
    <v>New York Stock Exchange</v>
    <v>XNYS</v>
    <v>XNYS</v>
    <v>3100 SANDERS ROAD, NORTHBROOK, IL, 60062 US</v>
    <v>135.15639999999999</v>
    <v>Insurance</v>
    <v>Stock</v>
    <v>44917.73710173594</v>
    <v>644</v>
    <v>133.285</v>
    <v>35567842917</v>
    <v>THE ALLSTATE CORPORATION</v>
    <v>THE ALLSTATE CORPORATION</v>
    <v>134.30000000000001</v>
    <v>44.216799999999999</v>
    <v>134.63999999999999</v>
    <v>134.1122</v>
    <v>265209600</v>
    <v>ALL</v>
    <v>THE ALLSTATE CORPORATION (XNYS:ALL)</v>
    <v>386759</v>
    <v>1587453</v>
    <v>1992</v>
  </rv>
  <rv s="2">
    <v>645</v>
  </rv>
  <rv s="0">
    <v>https://www.bing.com/financeapi/forcetrigger?t=bpifbh&amp;q=XNYS%3aDOW&amp;form=skydnc</v>
    <v>Learn more on Bing</v>
  </rv>
  <rv s="1">
    <v>en-US</v>
    <v>bpifbh</v>
    <v>268435456</v>
    <v>1</v>
    <v>Powered by Refinitiv</v>
    <v>0</v>
    <v>Dow Inc. (XNYS:DOW)</v>
    <v>2</v>
    <v>3</v>
    <v>Finance</v>
    <v>4</v>
    <v>71.86</v>
    <v>42.91</v>
    <v>1.3132999999999999</v>
    <v>-1.3678999999999999</v>
    <v>-2.6996000000000003E-2</v>
    <v>USD</v>
    <v>Dow Inc. is a holding company for The Dow Chemical Company and its subsidiaries (TDCC). The Company conducts its worldwide operations through six global businesses, which are organized into three segments: Packaging &amp; Specialty Plastics, Industrial Intermediates &amp; Infrastructure, and Performance Materials &amp; Coatings. The Packaging &amp; Specialty Plastics segment consists of two integrated global businesses, such as Hydrocarbons &amp; Energy and Packaging and Specialty Plastics. The Industrial Intermediates &amp; Infrastructure segment consists of two customer-centric global businesses, such as Industrial Solutions and Polyurethanes &amp; Construction Chemicals that develop intermediate chemicals that are essential to manufacturing processes, as well as downstream, customized materials and formulations that use advanced development technologies. The Performance Materials &amp; Coatings segment consists of two global businesses, such as Coatings &amp; Performance Monomers and Consumer Solutions.</v>
    <v>35700</v>
    <v>New York Stock Exchange</v>
    <v>XNYS</v>
    <v>XNYS</v>
    <v>2211 H H Dow Way, MIDLAND, MI, 48642-4815 US</v>
    <v>50.225000000000001</v>
    <v>Chemicals</v>
    <v>Stock</v>
    <v>44917.737067499998</v>
    <v>647</v>
    <v>49.255000000000003</v>
    <v>34696811384</v>
    <v>Dow Inc.</v>
    <v>Dow Inc.</v>
    <v>50.225000000000001</v>
    <v>6.5674000000000001</v>
    <v>50.67</v>
    <v>49.302100000000003</v>
    <v>703759300</v>
    <v>DOW</v>
    <v>Dow Inc. (XNYS:DOW)</v>
    <v>1195666</v>
    <v>4697930</v>
    <v>2018</v>
  </rv>
  <rv s="2">
    <v>648</v>
  </rv>
  <rv s="0">
    <v>https://www.bing.com/financeapi/forcetrigger?t=a1ythw&amp;q=XNYS%3aNUE&amp;form=skydnc</v>
    <v>Learn more on Bing</v>
  </rv>
  <rv s="1">
    <v>en-US</v>
    <v>a1ythw</v>
    <v>268435456</v>
    <v>1</v>
    <v>Powered by Refinitiv</v>
    <v>0</v>
    <v>NUCOR CORPORATION (XNYS:NUE)</v>
    <v>2</v>
    <v>3</v>
    <v>Finance</v>
    <v>4</v>
    <v>187.9</v>
    <v>88.5</v>
    <v>1.5218</v>
    <v>-3.78</v>
    <v>-2.7501000000000001E-2</v>
    <v>USD</v>
    <v>Nucor Corporation is focused on manufacturing steel and steel products that produces direct reduced iron for use in its steel mills. The Company’s segments include Steel Mills, Steel Products and Raw Materials. The Steel Mills segment produces sheet steel (hot-rolled, cold-rolled and galvanized), plate steel, beam blanks, H-piling and sheet piling, bar steel, blooms, billets, concrete reinforcing bar, merchant bar and engineered special bar quality. The Steel Products segment produces hollow structural section steel tubing, electrical conduit, steel racking, steel joists and joist girders, steel deck, fabricated concrete reinforcing steel, cold finished steel, steel fasteners, metal building systems, steel grating and expanded metal, and wire and wire mesh. The Raw Materials segment produces direct reduced iron; brokers ferrous and nonferrous metals, pig iron, hot briquetted iron and direct reduced iron; supplies ferro-alloys, and processes ferrous and nonferrous scrap metal.</v>
    <v>28800</v>
    <v>New York Stock Exchange</v>
    <v>XNYS</v>
    <v>XNYS</v>
    <v>1915 REXFORD RD, CHARLOTTE, NC, 28211 US</v>
    <v>137.505</v>
    <v>Metals &amp; Mining</v>
    <v>Stock</v>
    <v>44917.737073020311</v>
    <v>650</v>
    <v>133.44</v>
    <v>34292196378</v>
    <v>NUCOR CORPORATION</v>
    <v>NUCOR CORPORATION</v>
    <v>137</v>
    <v>4.3023999999999996</v>
    <v>137.44999999999999</v>
    <v>133.66999999999999</v>
    <v>256543700</v>
    <v>NUE</v>
    <v>NUCOR CORPORATION (XNYS:NUE)</v>
    <v>418248</v>
    <v>1978890</v>
    <v>1958</v>
  </rv>
  <rv s="2">
    <v>651</v>
  </rv>
  <rv s="0">
    <v>https://www.bing.com/financeapi/forcetrigger?t=a1rlu2&amp;q=XNYS%3aECL&amp;form=skydnc</v>
    <v>Learn more on Bing</v>
  </rv>
  <rv s="1">
    <v>en-US</v>
    <v>a1rlu2</v>
    <v>268435456</v>
    <v>1</v>
    <v>Powered by Refinitiv</v>
    <v>0</v>
    <v>ECOLAB INC. (XNYS:ECL)</v>
    <v>2</v>
    <v>3</v>
    <v>Finance</v>
    <v>4</v>
    <v>237.38</v>
    <v>131.04</v>
    <v>0.99719999999999998</v>
    <v>-2.99</v>
    <v>-2.0721E-2</v>
    <v>USD</v>
    <v>Ecolab Inc. provides water, hygiene and infection prevention solutions and services. The Company delivers various solutions, data-driven insights and personalized service to various industries. Its segments include Global Industrial, Global Institutional &amp; Specialty and Global Healthcare &amp; Life Sciences. Its Global Industrial segment provides water treatment and process applications, and cleaning and sanitizing solutions, primarily to industrial customers within the manufacturing, food and beverage processing, transportation, chemical, primary metals and mining, power generation, global refining, petrochemical, pulp and paper industries. Its Global Institutional &amp; Specialty segment provides specialized cleaning and sanitizing products to the foodservice, hospitality, lodging, government, education and retail industries. Its Global Healthcare &amp; Life Sciences segment provides specialized cleaning and sanitizing products to the healthcare, personal care and pharmaceutical industries.</v>
    <v>47000</v>
    <v>New York Stock Exchange</v>
    <v>XNYS</v>
    <v>XNYS</v>
    <v>1 Ecolab Place, SAINT PAUL, MN, 55102 US</v>
    <v>143.22</v>
    <v>Chemicals</v>
    <v>Stock</v>
    <v>44917.737114941403</v>
    <v>653</v>
    <v>141.30000000000001</v>
    <v>40249058811</v>
    <v>ECOLAB INC.</v>
    <v>ECOLAB INC.</v>
    <v>142.86000000000001</v>
    <v>36.765900000000002</v>
    <v>144.30000000000001</v>
    <v>141.31</v>
    <v>284828100</v>
    <v>ECL</v>
    <v>ECOLAB INC. (XNYS:ECL)</v>
    <v>241261</v>
    <v>1428152</v>
    <v>1924</v>
  </rv>
  <rv s="2">
    <v>654</v>
  </rv>
  <rv s="0">
    <v>https://www.bing.com/financeapi/forcetrigger?t=a1wkbh&amp;q=XNYS%3aKMI&amp;form=skydnc</v>
    <v>Learn more on Bing</v>
  </rv>
  <rv s="1">
    <v>en-US</v>
    <v>a1wkbh</v>
    <v>268435456</v>
    <v>1</v>
    <v>Powered by Refinitiv</v>
    <v>0</v>
    <v>KINDER MORGAN, INC. (XNYS:KMI)</v>
    <v>2</v>
    <v>3</v>
    <v>Finance</v>
    <v>4</v>
    <v>20.2</v>
    <v>15.36</v>
    <v>0.94069999999999998</v>
    <v>-0.32500000000000001</v>
    <v>-1.8177000000000002E-2</v>
    <v>USD</v>
    <v>Kinder Morgan, Inc. is an energy infrastructure company. The Company operates through four segments, such as Natural Gas Pipelines, Products Pipelines, Terminals and CO2 segment. The Natural Gas Pipelines business segment consist of natural gas transportation, storage, sales, gathering, processing and treating, and various liquefied natural gas (LNG) services. The Products Pipelines business segment consists of its refined petroleum products, crude oil and condensate pipelines, and associated terminals. The Terminals business segment includes the operations of refined petroleum product, chemical, renewable fuel and other liquid terminal facilities (other than those included in the Products Pipelines business segment) and all of its petroleum coke, metal and ores facilities. CO2 business segment produces, transports and markets carbon dioxide (CO2) for use in enhanced oil recovery projects as a flooding medium for recovering crude oil from mature oil fields.</v>
    <v>10529</v>
    <v>New York Stock Exchange</v>
    <v>XNYS</v>
    <v>XNYS</v>
    <v>SUITE 1000, 1001 LOUISIANA STREET, HOUSTON, TX, 77002 US</v>
    <v>17.86</v>
    <v>Oil &amp; Gas Related Equipment and Services</v>
    <v>Stock</v>
    <v>44917.737114849217</v>
    <v>656</v>
    <v>17.545000000000002</v>
    <v>39459110810</v>
    <v>KINDER MORGAN, INC.</v>
    <v>KINDER MORGAN, INC.</v>
    <v>17.809999999999999</v>
    <v>16.184100000000001</v>
    <v>17.88</v>
    <v>17.555</v>
    <v>2247742000</v>
    <v>KMI</v>
    <v>KINDER MORGAN, INC. (XNYS:KMI)</v>
    <v>5575992</v>
    <v>14894419</v>
    <v>2006</v>
  </rv>
  <rv s="2">
    <v>657</v>
  </rv>
  <rv s="0">
    <v>https://www.bing.com/financeapi/forcetrigger?t=bu3ew7&amp;q=XNYS%3aCARR&amp;form=skydnc</v>
    <v>Learn more on Bing</v>
  </rv>
  <rv s="1">
    <v>en-US</v>
    <v>bu3ew7</v>
    <v>268435456</v>
    <v>1</v>
    <v>Powered by Refinitiv</v>
    <v>0</v>
    <v>CARRIER GLOBAL CORPORATION (XNYS:CARR)</v>
    <v>2</v>
    <v>3</v>
    <v>Finance</v>
    <v>4</v>
    <v>54.64</v>
    <v>33.1</v>
    <v>1.26</v>
    <v>-0.97499999999999998</v>
    <v>-2.3165000000000002E-2</v>
    <v>USD</v>
    <v>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v>
    <v>58000</v>
    <v>New York Stock Exchange</v>
    <v>XNYS</v>
    <v>XNYS</v>
    <v>13995 Pasteur Boulevard, PALM BEACH GARDENS, FL, 33418 US</v>
    <v>42.02</v>
    <v>Machinery, Equipment &amp; Components</v>
    <v>Stock</v>
    <v>44917.737126099222</v>
    <v>659</v>
    <v>41.03</v>
    <v>34382891572</v>
    <v>CARRIER GLOBAL CORPORATION</v>
    <v>CARRIER GLOBAL CORPORATION</v>
    <v>41.67</v>
    <v>10.1709</v>
    <v>42.09</v>
    <v>41.115000000000002</v>
    <v>836261500</v>
    <v>CARR</v>
    <v>CARRIER GLOBAL CORPORATION (XNYS:CARR)</v>
    <v>955712</v>
    <v>3617896</v>
    <v>2019</v>
  </rv>
  <rv s="2">
    <v>660</v>
  </rv>
  <rv s="0">
    <v>https://www.bing.com/financeapi/forcetrigger?t=a1zk27&amp;q=XNAS%3aPCAR&amp;form=skydnc</v>
    <v>Learn more on Bing</v>
  </rv>
  <rv s="1">
    <v>en-US</v>
    <v>a1zk27</v>
    <v>268435456</v>
    <v>1</v>
    <v>Powered by Refinitiv</v>
    <v>0</v>
    <v>PACCAR INC (XNAS:PCAR)</v>
    <v>2</v>
    <v>3</v>
    <v>Finance</v>
    <v>4</v>
    <v>107.18</v>
    <v>77</v>
    <v>0.91490000000000005</v>
    <v>-2.19</v>
    <v>-2.1675E-2</v>
    <v>USD</v>
    <v>PACCAR Inc (PACCAR) is a global technology company. The Company operates through three segments: Truck, Parts, and Financial Services. The Truck segment includes the design, manufacture, and distribution of light-, medium- and heavy-duty commercial trucks. PACCAR’s trucks are marketed under the Kenworth, Peterbilt, and DAF nameplates. The Company also designs and manufactures diesel engines, primarily for use in the Company’s trucks, at its facilities in Columbus, Mississippi; Eindhoven, the Netherlands; and Ponta Grossa, Brazil. The Parts segment includes the distribution of aftermarket parts for trucks and related commercial vehicles. The Financial Services segment includes finance and leasing products and services provided to customers and dealers. It operates in approximately 26 countries in North America, Europe, Australia, and South America. It also conducts full-service leasing operations in North America, Germany, and Australia under the PacLease trade name.</v>
    <v>28500</v>
    <v>Nasdaq Stock Market</v>
    <v>XNAS</v>
    <v>XNAS</v>
    <v>777 106Th Avenue Ne, Paccar Building, BELLEVUE, WA, 98004 US</v>
    <v>100.955</v>
    <v>Machinery, Equipment &amp; Components</v>
    <v>Stock</v>
    <v>44917.737024582813</v>
    <v>662</v>
    <v>98.83</v>
    <v>34376827260</v>
    <v>PACCAR INC</v>
    <v>PACCAR INC</v>
    <v>100.7</v>
    <v>13.5441</v>
    <v>101.04</v>
    <v>98.85</v>
    <v>347767600</v>
    <v>PCAR</v>
    <v>PACCAR INC (XNAS:PCAR)</v>
    <v>1194154</v>
    <v>2202234</v>
    <v>1971</v>
  </rv>
  <rv s="2">
    <v>663</v>
  </rv>
  <rv s="0">
    <v>https://www.bing.com/financeapi/forcetrigger?t=a1ufm7&amp;q=XNYS%3aHAL&amp;form=skydnc</v>
    <v>Learn more on Bing</v>
  </rv>
  <rv s="1">
    <v>en-US</v>
    <v>a1ufm7</v>
    <v>268435456</v>
    <v>1</v>
    <v>Powered by Refinitiv</v>
    <v>0</v>
    <v>HALLIBURTON COMPANY (XNYS:HAL)</v>
    <v>2</v>
    <v>3</v>
    <v>Finance</v>
    <v>4</v>
    <v>43.99</v>
    <v>22.3</v>
    <v>2.1840000000000002</v>
    <v>-1.105</v>
    <v>-2.8605000000000002E-2</v>
    <v>USD</v>
    <v>Halliburton Company is a provider of products and services to the energy industry. The Company operates through two segments: the Completion and Production segment and the Drilling and Evaluation segment. The Completion and Production deliver cementing, stimulation, intervention, pressure control, artificial lift, and completion products and services. The segment consists of the product service lines, such as production enhancement, cementing, completion tools, production solutions, pipeline &amp; process services, and artificial lift. The Drilling and Evaluation provide field and reservoir modeling, drilling, fluids and specialty chemicals, evaluation, and precise wellbore placement solutions that enable customers to model, measure, drill, and optimize their well construction activities. It consists of product service lines including Sperry drilling, wireline and perforating, Halliburton project management, testing and subsea, drill bits, and services.</v>
    <v>40000</v>
    <v>New York Stock Exchange</v>
    <v>XNYS</v>
    <v>XNYS</v>
    <v>3000 North Sam Houston Parkway East, 3000 North Sam Houston Parkway East, HOUSTON, TX, 77032 US</v>
    <v>38.79</v>
    <v>Oil &amp; Gas Related Equipment and Services</v>
    <v>Stock</v>
    <v>44917.737097997655</v>
    <v>665</v>
    <v>37.515000000000001</v>
    <v>34074456170</v>
    <v>HALLIBURTON COMPANY</v>
    <v>HALLIBURTON COMPANY</v>
    <v>38.695</v>
    <v>20.019400000000001</v>
    <v>38.630000000000003</v>
    <v>37.524999999999999</v>
    <v>908046800</v>
    <v>HAL</v>
    <v>HALLIBURTON COMPANY (XNYS:HAL)</v>
    <v>3141487</v>
    <v>9656397</v>
    <v>1996</v>
  </rv>
  <rv s="2">
    <v>666</v>
  </rv>
  <rv s="0">
    <v>https://www.bing.com/financeapi/forcetrigger?t=a1uqpr&amp;q=XNYS%3aHLT&amp;form=skydnc</v>
    <v>Learn more on Bing</v>
  </rv>
  <rv s="1">
    <v>en-US</v>
    <v>a1uqpr</v>
    <v>268435456</v>
    <v>1</v>
    <v>Powered by Refinitiv</v>
    <v>0</v>
    <v>HILTON WORLDWIDE HOLDINGS INC. (XNYS:HLT)</v>
    <v>2</v>
    <v>3</v>
    <v>Finance</v>
    <v>4</v>
    <v>167.99</v>
    <v>108.41</v>
    <v>1.2241</v>
    <v>-2.2400000000000002</v>
    <v>-1.7603000000000001E-2</v>
    <v>USD</v>
    <v>Hilton Worldwide Holdings Inc. is a hospitality company. The Company is engaged in managing, franchising, owning and leasing hotels and resorts, and licensing its brands and intellectual property. The Company manages, franchises, owns or leases approximately 6,837 properties comprising approximately 1,074,791 rooms in over122 countries and territories. Its brands include Waldorf Astoria Hotels &amp; Resorts, LXR Hotels &amp; Resorts and Conrad Hotels &amp; Resorts, Canopy by Hilton, others. It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745 managed hotels and over 5,978 franchised hotels consisting of approximately 1,047,262 rooms. The ownership segment includes approximately 54 properties totaling over 18,151 rooms.</v>
    <v>142000</v>
    <v>New York Stock Exchange</v>
    <v>XNYS</v>
    <v>XNYS</v>
    <v>7930 Jones Branch Dr Ste 1100, MCLEAN, VA, 22102 US</v>
    <v>127.13</v>
    <v>Hotels &amp; Entertainment Services</v>
    <v>Stock</v>
    <v>44917.737088726564</v>
    <v>668</v>
    <v>124.95</v>
    <v>33809704560</v>
    <v>HILTON WORLDWIDE HOLDINGS INC.</v>
    <v>HILTON WORLDWIDE HOLDINGS INC.</v>
    <v>126.39</v>
    <v>33.059199999999997</v>
    <v>127.25</v>
    <v>125.01</v>
    <v>270456000</v>
    <v>HLT</v>
    <v>HILTON WORLDWIDE HOLDINGS INC. (XNYS:HLT)</v>
    <v>735125</v>
    <v>1627742</v>
    <v>2010</v>
  </rv>
  <rv s="2">
    <v>669</v>
  </rv>
  <rv s="0">
    <v>https://www.bing.com/financeapi/forcetrigger?t=a1vb5r&amp;q=XNAS%3aIDXX&amp;form=skydnc</v>
    <v>Learn more on Bing</v>
  </rv>
  <rv s="1">
    <v>en-US</v>
    <v>a1vb5r</v>
    <v>268435456</v>
    <v>1</v>
    <v>Powered by Refinitiv</v>
    <v>0</v>
    <v>IDEXX LABORATORIES, INC. (XNAS:IDXX)</v>
    <v>2</v>
    <v>3</v>
    <v>Finance</v>
    <v>4</v>
    <v>664.7</v>
    <v>317.06</v>
    <v>1.1754</v>
    <v>-12.595000000000001</v>
    <v>-3.0127000000000001E-2</v>
    <v>USD</v>
    <v>IDEXX Laboratories, Inc. develops, manufactures and distributes products and provides services for the companion animal veterinary, livestock and poultry, dairy and water testing markets. It also offers human medical point-of-care &amp; laboratory diagnostics. Its products include health monitoring, others. Its segments include Companion Animal Group (CAG), Water quality products (Water), and Livestock, Poultry and Dairy (LPD). The CAG segment CAG develops, designs, manufactures, and distributes products and performs services for veterinarians and the biomedical analytics market, primarily related to diagnostics and information management. The Water segment develops, designs, manufactures, and distributes a range of products used in the detection of various microbiological parameters in water. The LPD segment develops, designs, manufactures, and distributes diagnostic tests and related instrumentation and performs services that are used to manage the health status of livestock and poultry.</v>
    <v>10350</v>
    <v>Nasdaq Stock Market</v>
    <v>XNAS</v>
    <v>XNAS</v>
    <v>One Idexx Drive, WESTBROOK, ME, 04092-2041 US</v>
    <v>413.22840000000002</v>
    <v>Healthcare Equipment &amp; Supplies</v>
    <v>Stock</v>
    <v>44917.736824178122</v>
    <v>671</v>
    <v>405.10090000000002</v>
    <v>33579378686</v>
    <v>IDEXX LABORATORIES, INC.</v>
    <v>IDEXX LABORATORIES, INC.</v>
    <v>411.25</v>
    <v>53.170200000000001</v>
    <v>418.06</v>
    <v>405.46499999999997</v>
    <v>82816960</v>
    <v>IDXX</v>
    <v>IDEXX LABORATORIES, INC. (XNAS:IDXX)</v>
    <v>107506</v>
    <v>431399</v>
    <v>1983</v>
  </rv>
  <rv s="2">
    <v>672</v>
  </rv>
  <rv s="0">
    <v>https://www.bing.com/financeapi/forcetrigger?t=a1pokr&amp;q=XNAS%3aCHTR&amp;form=skydnc</v>
    <v>Learn more on Bing</v>
  </rv>
  <rv s="1">
    <v>en-US</v>
    <v>a1pokr</v>
    <v>268435456</v>
    <v>1</v>
    <v>Powered by Refinitiv</v>
    <v>0</v>
    <v>CHARTER COMMUNICATIONS, INC. (XNAS:CHTR)</v>
    <v>2</v>
    <v>3</v>
    <v>Finance</v>
    <v>4</v>
    <v>669.86500000000001</v>
    <v>297.66000000000003</v>
    <v>1.1455</v>
    <v>-4.55</v>
    <v>-1.4159E-2</v>
    <v>USD</v>
    <v>Charter Communications, Inc. (Charter) is a holding company. Charter is a broadband connectivity company and cable operator serving approximately 32 million customers in 41 states through its Spectrum brand. The Company offers a range of residential and business services, including Spectrum Internet, television, mobile and voice. Spectrum Business offers Internet, voice, and video services to small and midsize business (SMB) through its fiber coaxial network. Spectrum Enterprise offers communications products and managed service solutions to larger businesses and government entities. The Spectrum Enterprise product portfolio includes Internet access; wide area network (WAN) solutions, including ethernet; software-defined WAN and cloud connectivity services. Spectrum Reach delivers advertising and production for the media landscape. Charter also distributes news coverage, sports, and original programming to its customers through Spectrum Networks and Spectrum Originals.</v>
    <v>93700</v>
    <v>Nasdaq Stock Market</v>
    <v>XNAS</v>
    <v>XNAS</v>
    <v>12405 Powerscourt Drive, ST. LOUIS, MO, 63131 US</v>
    <v>322.17</v>
    <v>Telecommunications Services</v>
    <v>Stock</v>
    <v>44917.737029166405</v>
    <v>674</v>
    <v>316.63</v>
    <v>49315427917</v>
    <v>CHARTER COMMUNICATIONS, INC.</v>
    <v>CHARTER COMMUNICATIONS, INC.</v>
    <v>317.60000000000002</v>
    <v>10.0375</v>
    <v>321.33999999999997</v>
    <v>316.79000000000002</v>
    <v>155672300</v>
    <v>CHTR</v>
    <v>CHARTER COMMUNICATIONS, INC. (XNAS:CHTR)</v>
    <v>654890</v>
    <v>1585524</v>
    <v>2003</v>
  </rv>
  <rv s="2">
    <v>675</v>
  </rv>
  <rv s="0">
    <v>https://www.bing.com/financeapi/forcetrigger?t=a1uwu2&amp;q=XNYS%3aHSY&amp;form=skydnc</v>
    <v>Learn more on Bing</v>
  </rv>
  <rv s="1">
    <v>en-US</v>
    <v>a1uwu2</v>
    <v>268435456</v>
    <v>1</v>
    <v>Powered by Refinitiv</v>
    <v>0</v>
    <v>THE HERSHEY COMPANY (XNYS:HSY)</v>
    <v>2</v>
    <v>3</v>
    <v>Finance</v>
    <v>4</v>
    <v>242.63499999999999</v>
    <v>187.27500000000001</v>
    <v>0.34610000000000002</v>
    <v>-0.94</v>
    <v>-4.0000000000000001E-3</v>
    <v>USD</v>
    <v>The Hershey Company is a confectionery company. It produces snack, chocolate, and non-chocolate confectionery. Its segments include North America Confectionery, North America Salty Snacks, and International. North America Confectionery segment consists of traditional chocolate and non-chocolate confectionery markets in the United States and Canada. This includes chocolate and non-chocolate confectionery, gum and refreshment products, protein bars, spreads, snack bites and mixes, as well as pantry, and food service lines. North America Salty Snacks segment includes salty snacking products in the United States. This includes ready-to-eat popcorn, baked and trans-fat free snacks, pretzels, and other snacks. The international segment has operations and manufactures products in Mexico, Brazil, India, and Malaysia for consumers in these regions, and also distributes and sells confectionery products in export markets of Asia, Latin America, Middle East, Europe, Africa and other regions.</v>
    <v>16620</v>
    <v>New York Stock Exchange</v>
    <v>XNYS</v>
    <v>XNYS</v>
    <v>P O BOX 810-EXTERNAL RPTG &amp; COMPLIANCE, 100 CRYSTAL A DRIVE, HERSHEY, PA, 17033-0810 US</v>
    <v>235.88</v>
    <v>Food &amp; Tobacco</v>
    <v>Stock</v>
    <v>44917.7369014</v>
    <v>677</v>
    <v>234.03</v>
    <v>47997531704</v>
    <v>THE HERSHEY COMPANY</v>
    <v>THE HERSHEY COMPANY</v>
    <v>235.5</v>
    <v>30.686499999999999</v>
    <v>234.98</v>
    <v>234.04</v>
    <v>205082600</v>
    <v>HSY</v>
    <v>THE HERSHEY COMPANY (XNYS:HSY)</v>
    <v>135595</v>
    <v>925871</v>
    <v>1927</v>
  </rv>
  <rv s="2">
    <v>678</v>
  </rv>
  <rv s="0">
    <v>https://www.bing.com/financeapi/forcetrigger?t=a1q3jc&amp;q=XNYS%3aCOF&amp;form=skydnc</v>
    <v>Learn more on Bing</v>
  </rv>
  <rv s="1">
    <v>en-US</v>
    <v>a1q3jc</v>
    <v>268435456</v>
    <v>1</v>
    <v>Powered by Refinitiv</v>
    <v>0</v>
    <v>CAPITAL ONE FINANCIAL CORPORATION (XNYS:COF)</v>
    <v>2</v>
    <v>3</v>
    <v>Finance</v>
    <v>4</v>
    <v>162.4</v>
    <v>86.98</v>
    <v>1.4294</v>
    <v>-1.47</v>
    <v>-1.6383999999999999E-2</v>
    <v>USD</v>
    <v>Capital One Financial Corporation is a diversified financial service holding company. The Company offers a range of financial products and services to consumers, small businesses and commercial clients through digital channels, branch locations, cafes, and other distribution channels. The Company's segments include Credit Card, Consumer Banking and Commercial Banking. The Credit Card segment consists of its domestic consumer and small business card lending, and international card businesses in the United Kingdom and Canada. The Consumer Banking segment consists of its deposit gathering and lending activities for consumers and small businesses, and national auto lending. The Commercial Banking segment consists of its lending, deposit gathering, capital markets and treasury management services to commercial real estate and commercial and industrial customers. Its subsidiaries include Capital One Bank (USA), National Association (COBNA) and Capital One, National Association (CONA).</v>
    <v>55100</v>
    <v>New York Stock Exchange</v>
    <v>XNYS</v>
    <v>XNYS</v>
    <v>Suite 1400, 1680 Capital One Drive, MCLEAN, VA, 22102 US</v>
    <v>89</v>
    <v>Banking Services</v>
    <v>Stock</v>
    <v>44917.73710533516</v>
    <v>680</v>
    <v>87.22</v>
    <v>33684901450</v>
    <v>CAPITAL ONE FINANCIAL CORPORATION</v>
    <v>CAPITAL ONE FINANCIAL CORPORATION</v>
    <v>88.32</v>
    <v>4.4410999999999996</v>
    <v>89.72</v>
    <v>88.25</v>
    <v>381698600</v>
    <v>COF</v>
    <v>CAPITAL ONE FINANCIAL CORPORATION (XNYS:COF)</v>
    <v>2140832</v>
    <v>2997436</v>
    <v>1994</v>
  </rv>
  <rv s="2">
    <v>681</v>
  </rv>
  <rv s="0">
    <v>https://www.bing.com/financeapi/forcetrigger?t=a1rfsm&amp;q=XNYS%3aDD&amp;form=skydnc</v>
    <v>Learn more on Bing</v>
  </rv>
  <rv s="1">
    <v>en-US</v>
    <v>a1rfsm</v>
    <v>268435456</v>
    <v>1</v>
    <v>Powered by Refinitiv</v>
    <v>0</v>
    <v>DuPont de Nemours, Inc. (XNYS:DD)</v>
    <v>2</v>
    <v>3</v>
    <v>Finance</v>
    <v>4</v>
    <v>85.16</v>
    <v>49.52</v>
    <v>1.4531000000000001</v>
    <v>-1.94</v>
    <v>-2.8395999999999998E-2</v>
    <v>USD</v>
    <v>DuPont de Nemours, Inc. provides technology-based materials and solutions. The Company's segments include Electronics &amp; Industrial and Water &amp; Protection. Its Electronics &amp; Industrial segment is a global supplier of differentiated materials and systems for a range of consumer electronics, including mobile devices, television monitors, personal computers, and electronics used in a variety of industries. The segment is a provider of materials and solutions for the fabrication and packaging of semiconductors and integrated circuits. It also provides solutions for thermal management and electromagnetic shielding as well as metallization processes for metal finishing, decorative, and industrial applications. The Company's Water &amp; Protection segment is a provider of engineered products and integrated systems for a range of industries, including, worker safety, water purification and separation, transportation, energy, medical packaging, and building materials.</v>
    <v>28000</v>
    <v>New York Stock Exchange</v>
    <v>XNYS</v>
    <v>XNYS</v>
    <v>974 Centre Rd Bldg 730, WILMINGTON, DE, 19805-1269 US</v>
    <v>67.849999999999994</v>
    <v>Chemicals</v>
    <v>Stock</v>
    <v>44917.737095971876</v>
    <v>683</v>
    <v>66.38</v>
    <v>32976847181</v>
    <v>DuPont de Nemours, Inc.</v>
    <v>DuPont de Nemours, Inc.</v>
    <v>67.849999999999994</v>
    <v>29.851400000000002</v>
    <v>68.319999999999993</v>
    <v>66.38</v>
    <v>496788900</v>
    <v>DD</v>
    <v>DuPont de Nemours, Inc. (XNYS:DD)</v>
    <v>727408</v>
    <v>2645236</v>
    <v>2015</v>
  </rv>
  <rv s="2">
    <v>684</v>
  </rv>
  <rv s="0">
    <v>https://www.bing.com/financeapi/forcetrigger?t=a1pxec&amp;q=XNYS%3aCMI&amp;form=skydnc</v>
    <v>Learn more on Bing</v>
  </rv>
  <rv s="1">
    <v>en-US</v>
    <v>a1pxec</v>
    <v>268435456</v>
    <v>1</v>
    <v>Powered by Refinitiv</v>
    <v>0</v>
    <v>CUMMINS INC. (XNYS:CMI)</v>
    <v>2</v>
    <v>3</v>
    <v>Finance</v>
    <v>4</v>
    <v>254.08500000000001</v>
    <v>184.27500000000001</v>
    <v>1.0467</v>
    <v>-4.62</v>
    <v>-1.9074000000000001E-2</v>
    <v>USD</v>
    <v>Cummins Inc. designs, manufactures, distributes and services diesel and natural gas, electric and hybrid powertrains and powertrain-related components. It is also a supplier of engine braking, cylinder deactivation, start and stop and thermal management technologies.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high-horsepower engines, and heavy-duty and medium-duty engines. The Components segment supplies products, including aftertreatment systems, turbochargers, filtration products, electronics and fuel systems. The Power Systems segment consists of businesses, including power generation, industrial and generator technologies. The New Power segment focuses on hydrogen production and electric drive systems.</v>
    <v>59900</v>
    <v>New York Stock Exchange</v>
    <v>XNYS</v>
    <v>XNYS</v>
    <v>BOX 3005 MAIL CODE 60207, 500 JACKSON ST, COLUMBUS, IN, 47202-3005 US</v>
    <v>242.16</v>
    <v>Automobiles &amp; Auto Parts</v>
    <v>Stock</v>
    <v>44917.736994027342</v>
    <v>686</v>
    <v>237.56</v>
    <v>33501600000</v>
    <v>CUMMINS INC.</v>
    <v>CUMMINS INC.</v>
    <v>242.16</v>
    <v>18.0548</v>
    <v>242.22</v>
    <v>237.6</v>
    <v>141000000</v>
    <v>CMI</v>
    <v>CUMMINS INC. (XNYS:CMI)</v>
    <v>147835</v>
    <v>932017</v>
    <v>1919</v>
  </rv>
  <rv s="2">
    <v>687</v>
  </rv>
  <rv s="0">
    <v>https://www.bing.com/financeapi/forcetrigger?t=a1rmkr&amp;q=XNYS%3aED&amp;form=skydnc</v>
    <v>Learn more on Bing</v>
  </rv>
  <rv s="1">
    <v>en-US</v>
    <v>a1rmkr</v>
    <v>268435456</v>
    <v>1</v>
    <v>Powered by Refinitiv</v>
    <v>0</v>
    <v>CONSOLIDATED EDISON, INC. (XNYS:ED)</v>
    <v>2</v>
    <v>3</v>
    <v>Finance</v>
    <v>4</v>
    <v>102.21</v>
    <v>78.099999999999994</v>
    <v>0.3367</v>
    <v>-1.48</v>
    <v>-1.5462E-2</v>
    <v>USD</v>
    <v>Consolidated Edison, Inc. is a holding company that provides energy-related products and services through its subsidiaries. The Company’s segments include CECONY’s regulated utility activities, O&amp;R’s regulated utility activities, the Clean Energy Businesses and Con Edison Transmission. CECONY’s principal business segments are its regulated electric, gas and steam utility activities. Its O&amp;R’s principal business operations are its regulated electric and gas delivery businesses. The Clean Energy Businesses segment develops, owns and operates renewable and sustainable energy infrastructure projects and provides energy-related products and services to wholesale and retail customers. Con Edison Transmission segment invests in electric transmission projects and manages both electric and gas assets. Its subsidiaries include Consolidated Edison Company of New York, Inc., Orange and Rockland Utilities, Inc., Con Edison Clean Energy Businesses, Inc. and Con Edison Transmission, Inc.</v>
    <v>13871</v>
    <v>New York Stock Exchange</v>
    <v>XNYS</v>
    <v>XNYS</v>
    <v>4 Irving Place, NEW YORK, NY, 10003 US</v>
    <v>95.63</v>
    <v>Electrical Utilities &amp; IPPs</v>
    <v>Stock</v>
    <v>44917.737105115622</v>
    <v>689</v>
    <v>94.23</v>
    <v>33442279696</v>
    <v>CONSOLIDATED EDISON, INC.</v>
    <v>CONSOLIDATED EDISON, INC.</v>
    <v>95.53</v>
    <v>20.084800000000001</v>
    <v>95.72</v>
    <v>94.24</v>
    <v>354862900</v>
    <v>ED</v>
    <v>CONSOLIDATED EDISON, INC. (XNYS:ED)</v>
    <v>233250</v>
    <v>1835205</v>
    <v>1997</v>
  </rv>
  <rv s="2">
    <v>690</v>
  </rv>
  <rv s="0">
    <v>https://www.bing.com/financeapi/forcetrigger?t=a1nfvh&amp;q=XNYS%3aAMP&amp;form=skydnc</v>
    <v>Learn more on Bing</v>
  </rv>
  <rv s="1">
    <v>en-US</v>
    <v>a1nfvh</v>
    <v>268435456</v>
    <v>1</v>
    <v>Powered by Refinitiv</v>
    <v>0</v>
    <v>AMERIPRISE FINANCIAL, INC. (XNYS:AMP)</v>
    <v>2</v>
    <v>3</v>
    <v>Finance</v>
    <v>4</v>
    <v>339.41</v>
    <v>219.99</v>
    <v>1.4644999999999999</v>
    <v>-7.2</v>
    <v>-2.3001000000000001E-2</v>
    <v>USD</v>
    <v>Ameriprise Financial, Inc. is a holding company. The Company offers a range of financial planning and advice products and services designed to achieve individual and institutional clients’ financial objectives. Its segments include Advice &amp; Wealth Management, Asset Management, and Retirement &amp; Protection Solutions. Advice &amp; Wealth Management segment provides financial planning and advice, as well as service brokerage services, primarily to retail clients through the Company’s advisors. Asset Management segment provides investment management, advice and products to retail and institutional clients on a global scale through the Columbia Threadneedle Investments brand. Retirement &amp; Protection Solutions segment includes retirement solutions, which include variable annuities and payout annuities, and protection solutions, such as life and disability insurance. It offers products and services under brands, including Ameriprise Financial, Columbia Threadneedle Investments and RiverSource.</v>
    <v>12000</v>
    <v>New York Stock Exchange</v>
    <v>XNYS</v>
    <v>XNYS</v>
    <v>1099 Ameriprise Financial Center, MINNEAPOLIS, MN, 55474 US</v>
    <v>310.22000000000003</v>
    <v>Investment Banking &amp; Investment Services</v>
    <v>Stock</v>
    <v>44917.737058818748</v>
    <v>692</v>
    <v>305.83</v>
    <v>32545572276</v>
    <v>AMERIPRISE FINANCIAL, INC.</v>
    <v>AMERIPRISE FINANCIAL, INC.</v>
    <v>310.22000000000003</v>
    <v>13.0451</v>
    <v>313.02999999999997</v>
    <v>305.83</v>
    <v>106417200</v>
    <v>AMP</v>
    <v>AMERIPRISE FINANCIAL, INC. (XNYS:AMP)</v>
    <v>165206</v>
    <v>573384</v>
    <v>1983</v>
  </rv>
  <rv s="2">
    <v>693</v>
  </rv>
  <rv s="0">
    <v>https://www.bing.com/financeapi/forcetrigger?t=bu3f2w&amp;q=XNYS%3aOTIS&amp;form=skydnc</v>
    <v>Learn more on Bing</v>
  </rv>
  <rv s="1">
    <v>en-US</v>
    <v>bu3f2w</v>
    <v>268435456</v>
    <v>1</v>
    <v>Powered by Refinitiv</v>
    <v>0</v>
    <v>OTIS WORLDWIDE CORPORATION (XNYS:OTIS)</v>
    <v>2</v>
    <v>3</v>
    <v>Finance</v>
    <v>4</v>
    <v>88.22</v>
    <v>62.49</v>
    <v>0.81899999999999995</v>
    <v>-1.57</v>
    <v>-1.9865999999999998E-2</v>
    <v>USD</v>
    <v>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v>
    <v>70000</v>
    <v>New York Stock Exchange</v>
    <v>XNYS</v>
    <v>XNYS</v>
    <v>One Carrier Place, FARMINGTON, CT, 06032 US</v>
    <v>78.78</v>
    <v>Machinery, Equipment &amp; Components</v>
    <v>Stock</v>
    <v>44917.737050392971</v>
    <v>695</v>
    <v>77.45</v>
    <v>32268759305</v>
    <v>OTIS WORLDWIDE CORPORATION</v>
    <v>OTIS WORLDWIDE CORPORATION</v>
    <v>78.37</v>
    <v>27.184200000000001</v>
    <v>79.03</v>
    <v>77.459999999999994</v>
    <v>416586100</v>
    <v>OTIS</v>
    <v>OTIS WORLDWIDE CORPORATION (XNYS:OTIS)</v>
    <v>483063</v>
    <v>2261694</v>
    <v>2019</v>
  </rv>
  <rv s="2">
    <v>696</v>
  </rv>
  <rv s="0">
    <v>https://www.bing.com/financeapi/forcetrigger?t=a1ojc7&amp;q=XNYS%3aBK&amp;form=skydnc</v>
    <v>Learn more on Bing</v>
  </rv>
  <rv s="1">
    <v>en-US</v>
    <v>a1ojc7</v>
    <v>268435456</v>
    <v>1</v>
    <v>Powered by Refinitiv</v>
    <v>0</v>
    <v>THE BANK OF NEW YORK MELLON CORPORATION (XNYS:BK)</v>
    <v>2</v>
    <v>3</v>
    <v>Finance</v>
    <v>4</v>
    <v>64.63</v>
    <v>36.22</v>
    <v>1.0787</v>
    <v>-1.08</v>
    <v>-2.4118000000000001E-2</v>
    <v>USD</v>
    <v>The Bank of New York Mellon Corporation is a global investments company, which is focused on helping its clients manage and service their financial assets throughout the investment lifecycle. It provides financial services for institutions, corporations or individual investors. The Company's segments include Securities Services, Market and Wealth Services, and Investment and Wealth Management. Its Securities Services segment includes its asset servicing business, which provides global custody, fund accounting, integrated middle-office solutions, transfer agency and data and analytics solutions. Its Market and Wealth Services segment includes Pershing and clearance and collateral management, and its scaled treasury services business. Its Investment and Wealth Management segment includes its investment management and wealth management business. It has approximately $42.2 trillion in assets under custody and/or administration and $1.8 trillion in assets under management.</v>
    <v>51100</v>
    <v>New York Stock Exchange</v>
    <v>XNYS</v>
    <v>XNYS</v>
    <v>240 Greenwich Street, NEW YORK, NY, 10286 US</v>
    <v>44.79</v>
    <v>Investment Banking &amp; Investment Services</v>
    <v>Stock</v>
    <v>44917.737039258594</v>
    <v>698</v>
    <v>43.688000000000002</v>
    <v>35321836000</v>
    <v>THE BANK OF NEW YORK MELLON CORPORATION</v>
    <v>THE BANK OF NEW YORK MELLON CORPORATION</v>
    <v>44.484999999999999</v>
    <v>13.6378</v>
    <v>44.78</v>
    <v>43.7</v>
    <v>808280000</v>
    <v>BK</v>
    <v>THE BANK OF NEW YORK MELLON CORPORATION (XNYS:BK)</v>
    <v>800804</v>
    <v>4330493</v>
    <v>2007</v>
  </rv>
  <rv s="2">
    <v>699</v>
  </rv>
  <rv s="0">
    <v>https://www.bing.com/financeapi/forcetrigger?t=a1tg3m&amp;q=XNAS%3aFTNT&amp;form=skydnc</v>
    <v>Learn more on Bing</v>
  </rv>
  <rv s="1">
    <v>en-US</v>
    <v>a1tg3m</v>
    <v>268435456</v>
    <v>1</v>
    <v>Powered by Refinitiv</v>
    <v>0</v>
    <v>FORTINET, INC. (XNAS:FTNT)</v>
    <v>2</v>
    <v>3</v>
    <v>Finance</v>
    <v>4</v>
    <v>74.353999999999999</v>
    <v>42.610100000000003</v>
    <v>1.1262000000000001</v>
    <v>-1.2250000000000001</v>
    <v>-2.4494999999999999E-2</v>
    <v>USD</v>
    <v>Fortinet, Inc. offers cybersecurity and networking solutions. The Company provides cyber security solutions to a variety of organizations, including enterprises, communication service providers, government organizations and small businesses. Its network security appliances are managed by its FortiOS network operating system. Its Cloud Security portfolio also includes securing applications, including email and Web. Its cloud security offerings are available for deployment in public and private cloud environments, including Amazon Web Services, Microsoft Azure, Google Cloud, Oracle Cloud, Alibaba Cloud, IBM Cloud and VMWare Cloud. It also offers managed intrusion prevention system and Web application firewall rules delivered by FortiGuard Labs as an overlay service to native security offerings offered by Amazon Web Services. Its public and private cloud security solutions, including virtual appliances and hosted solutions, cover the capabilities of the Fortinet Security Fabric platform.</v>
    <v>12091</v>
    <v>Nasdaq Stock Market</v>
    <v>XNAS</v>
    <v>XNAS</v>
    <v>899 Kifer Road, SUNNYVALE, CA, 94086 US</v>
    <v>49.99</v>
    <v>Software &amp; IT Services</v>
    <v>Stock</v>
    <v>44917.737116388278</v>
    <v>701</v>
    <v>48.604999999999997</v>
    <v>38112598260</v>
    <v>FORTINET, INC.</v>
    <v>FORTINET, INC.</v>
    <v>49.64</v>
    <v>54.899700000000003</v>
    <v>50.01</v>
    <v>48.784999999999997</v>
    <v>781236000</v>
    <v>FTNT</v>
    <v>FORTINET, INC. (XNAS:FTNT)</v>
    <v>1309554</v>
    <v>5039815</v>
    <v>2000</v>
  </rv>
  <rv s="2">
    <v>702</v>
  </rv>
  <rv s="0">
    <v>https://www.bing.com/financeapi/forcetrigger?t=a1y2ec&amp;q=XNYS%3aMTD&amp;form=skydnc</v>
    <v>Learn more on Bing</v>
  </rv>
  <rv s="1">
    <v>en-US</v>
    <v>a1y2ec</v>
    <v>268435456</v>
    <v>1</v>
    <v>Powered by Refinitiv</v>
    <v>0</v>
    <v>METTLER-TOLEDO INTERNATIONAL INC. (XNYS:MTD)</v>
    <v>2</v>
    <v>3</v>
    <v>Finance</v>
    <v>4</v>
    <v>1714.75</v>
    <v>1065.55</v>
    <v>1.2008000000000001</v>
    <v>-23.02</v>
    <v>-1.5942000000000001E-2</v>
    <v>USD</v>
    <v>Mettler-Toledo International Inc. is a supplier of precision instruments and services. The Company manufactures a variety of precision instruments and provides value-added services to its customers. Its principal products and services include laboratory instruments, industrial instruments, retail weighing solutions, customer and distribution, and sales and service. It has a variety of precision laboratory instruments for sample preparation, synthesis, analytical benchtop, material characterization, and in-line measurement. Its laboratory instrument portfolio includes laboratory balances, liquid pipetting solutions, automated laboratory reactors, titrators and other. It manufactures numerous industrial weighing instruments and related terminals, and offers dedicated software solutions for the pharmaceutical, chemical, food, discrete manufacturing, and other industries. It offers networked scales and software, which can integrate backroom, counter, self-service and checkout functions.</v>
    <v>15600</v>
    <v>New York Stock Exchange</v>
    <v>XNYS</v>
    <v>XNYS</v>
    <v>1900 Polaris Pkwy, COLUMBUS, OH, 43240 US</v>
    <v>1428.59</v>
    <v>Office Equipment</v>
    <v>Stock</v>
    <v>44917.736979235939</v>
    <v>704</v>
    <v>1412.99</v>
    <v>31680043990</v>
    <v>METTLER-TOLEDO INTERNATIONAL INC.</v>
    <v>METTLER-TOLEDO INTERNATIONAL INC.</v>
    <v>1423</v>
    <v>39.515000000000001</v>
    <v>1444.02</v>
    <v>1421</v>
    <v>22294190</v>
    <v>MTD</v>
    <v>METTLER-TOLEDO INTERNATIONAL INC. (XNYS:MTD)</v>
    <v>23239</v>
    <v>99450</v>
    <v>1991</v>
  </rv>
  <rv s="2">
    <v>705</v>
  </rv>
  <rv s="0">
    <v>https://www.bing.com/financeapi/forcetrigger?t=a242qh&amp;q=XNYS%3aTDG&amp;form=skydnc</v>
    <v>Learn more on Bing</v>
  </rv>
  <rv s="1">
    <v>en-US</v>
    <v>a242qh</v>
    <v>268435456</v>
    <v>1</v>
    <v>Powered by Refinitiv</v>
    <v>0</v>
    <v>TRANSDIGM GROUP INCORPORATED (XNYS:TDG)</v>
    <v>2</v>
    <v>3</v>
    <v>Finance</v>
    <v>4</v>
    <v>665.78060000000005</v>
    <v>486.24779999999998</v>
    <v>1.3976999999999999</v>
    <v>-18.414999999999999</v>
    <v>-2.9340000000000001E-2</v>
    <v>USD</v>
    <v>TransDigm Group Incorporated is a designer, producer, and supplier of engineered aircraft components for use on commercial and military aircraft in service. The Company’s segments include Power &amp; Control, Airframe and Non-aviation. The Power &amp; Control segment develops, produces, and markets systems and components that provide power to or control power of the aircraft utilizing electronic, fluid, power, and mechanical motion control technologies. Its product offerings include mechanical/electro-mechanical actuators and controls. The Airframe segment develops, produces, and markets systems and components that are used in non-power airframe applications utilizing airframe and cabin structure technologies. Its product offerings include engineered latching and locking devices, and engineered rods. The Non-aviation segment develops, produces, and markets products for non-aviation markets. Its product offerings include belts and safety restraints for ground transportation applications.</v>
    <v>14400</v>
    <v>New York Stock Exchange</v>
    <v>XNYS</v>
    <v>XNYS</v>
    <v>SUITE 3710, 1301 EAST 9TH STREET, CLEVELAND, OH, 44114 US</v>
    <v>621.95500000000004</v>
    <v>Aerospace &amp; Defense</v>
    <v>Stock</v>
    <v>44917.736892870314</v>
    <v>707</v>
    <v>608.23</v>
    <v>33126365685</v>
    <v>TRANSDIGM GROUP INCORPORATED</v>
    <v>TRANSDIGM GROUP INCORPORATED</v>
    <v>620.25</v>
    <v>46.8917</v>
    <v>627.64</v>
    <v>609.22500000000002</v>
    <v>54374600</v>
    <v>TDG</v>
    <v>TRANSDIGM GROUP INCORPORATED (XNYS:TDG)</v>
    <v>101128</v>
    <v>277386</v>
    <v>2003</v>
  </rv>
  <rv s="2">
    <v>708</v>
  </rv>
  <rv s="0">
    <v>https://www.bing.com/financeapi/forcetrigger?t=a1rjec&amp;q=XNAS%3aEA&amp;form=skydnc</v>
    <v>Learn more on Bing</v>
  </rv>
  <rv s="1">
    <v>en-US</v>
    <v>a1rjec</v>
    <v>268435456</v>
    <v>1</v>
    <v>Powered by Refinitiv</v>
    <v>0</v>
    <v>ELECTRONIC ARTS INC. (XNAS:EA)</v>
    <v>2</v>
    <v>3</v>
    <v>Finance</v>
    <v>4</v>
    <v>142.79</v>
    <v>109.24</v>
    <v>0.876</v>
    <v>-1.97</v>
    <v>-1.6081999999999999E-2</v>
    <v>USD</v>
    <v>Electronic Arts Inc. is a digital interactive entertainment company. The Company develops, markets, publishes and deliver games, content and services that can be played by consumers on a range of platforms, which include game consoles, personal computers (PCs), mobile phones and tablets. Its games and services are based on a portfolio of intellectual property that includes brands, such as Apex Legends, Battlefield, The Sims, Madden NFL, Star Wars and FIFA Ultimate Team. The Company markets and sells its games and services through retail channels and through digital distribution channels. Its PC games and additional content can be downloaded directly through its Origin online platform, as well as through third-party online download stores, such as Steam. It also offers its EA Play subscription service on consoles and PC. Its mobile, tablet and PC games and additional content are available through third-party application storefronts, such as the Apple Application Store and Google Play.</v>
    <v>12900</v>
    <v>Nasdaq Stock Market</v>
    <v>XNAS</v>
    <v>XNAS</v>
    <v>209 Redwood Shores Pkwy, REDWOOD CITY, CA, 94065 US</v>
    <v>122.2</v>
    <v>Software &amp; IT Services</v>
    <v>Stock</v>
    <v>44917.73707099531</v>
    <v>710</v>
    <v>120.48</v>
    <v>33275946506</v>
    <v>ELECTRONIC ARTS INC.</v>
    <v>ELECTRONIC ARTS INC.</v>
    <v>121.81</v>
    <v>38.254100000000001</v>
    <v>122.5</v>
    <v>120.53</v>
    <v>276080200</v>
    <v>EA</v>
    <v>ELECTRONIC ARTS INC. (XNAS:EA)</v>
    <v>361781</v>
    <v>1766459</v>
    <v>1991</v>
  </rv>
  <rv s="2">
    <v>711</v>
  </rv>
  <rv s="0">
    <v>https://www.bing.com/financeapi/forcetrigger?t=a1ne3m&amp;q=XNYS%3aAME&amp;form=skydnc</v>
    <v>Learn more on Bing</v>
  </rv>
  <rv s="1">
    <v>en-US</v>
    <v>a1ne3m</v>
    <v>268435456</v>
    <v>1</v>
    <v>Powered by Refinitiv</v>
    <v>0</v>
    <v>AMETEK, INC. (XNYS:AME)</v>
    <v>2</v>
    <v>3</v>
    <v>Finance</v>
    <v>4</v>
    <v>148.07</v>
    <v>106.17</v>
    <v>1.2275</v>
    <v>-3.57</v>
    <v>-2.5434999999999999E-2</v>
    <v>USD</v>
    <v>AMETEK, Inc. is a global manufacturer of electronic instruments and electromechanical devices with operations in North America, Europe, Asia and South America. The Company's Electronic Instruments Group (EIG) segment manufactures advanced instruments for the process, power and industrial, and aerospace markets. This segment includes power quality monitoring and metering devices, uninterruptible power supplies, programmable power equipment, electromagnetic compatibility test equipment, and gas turbine sensors. It provides process and analytical instruments for the oil and gas, petrochemical, pharmaceutical, semiconductor, automation, and food and beverage industries. Its Electromechanical Group (EMG) segment is a supplier of automation solutions, thermal management systems, specialty metals and electrical interconnects. The EMG segment also manufactures motors used in commercial appliances, fitness equipment, food and beverage machines, hydraulic pumps, and industrial blowers.</v>
    <v>18500</v>
    <v>New York Stock Exchange</v>
    <v>XNYS</v>
    <v>XNYS</v>
    <v>1100 Cassatt Road, BERWYN, PA, 19312 US</v>
    <v>139.13999999999999</v>
    <v>Machinery, Equipment &amp; Components</v>
    <v>Stock</v>
    <v>44917.737103772655</v>
    <v>713</v>
    <v>136.79</v>
    <v>31414425376</v>
    <v>AMETEK, INC.</v>
    <v>AMETEK, INC.</v>
    <v>139.13999999999999</v>
    <v>28.712399999999999</v>
    <v>140.36000000000001</v>
    <v>136.79</v>
    <v>229654400</v>
    <v>AME</v>
    <v>AMETEK, INC. (XNYS:AME)</v>
    <v>141586</v>
    <v>903938</v>
    <v>1986</v>
  </rv>
  <rv s="2">
    <v>714</v>
  </rv>
  <rv s="0">
    <v>https://www.bing.com/financeapi/forcetrigger?t=a1wi77&amp;q=XNAS%3aKHC&amp;form=skydnc</v>
    <v>Learn more on Bing</v>
  </rv>
  <rv s="1">
    <v>en-US</v>
    <v>a1wi77</v>
    <v>268435456</v>
    <v>1</v>
    <v>Powered by Refinitiv</v>
    <v>0</v>
    <v>THE KRAFT HEINZ COMPANY (XNAS:KHC)</v>
    <v>2</v>
    <v>3</v>
    <v>Finance</v>
    <v>4</v>
    <v>44.87</v>
    <v>32.729999999999997</v>
    <v>0.74770000000000003</v>
    <v>-0.14000000000000001</v>
    <v>-3.4839999999999997E-3</v>
    <v>USD</v>
    <v>The Kraft Heinz Company (KHC) is a global food and beverage company. The Company's segments geographic include United States, International, and Canada. KHC manufactures and markets food and beverage products, including dairy products, meat products, coffee beans, soybean and vegetable oils, sugar and other sweeteners, tomatoes, potatoes, corn products, wheat products, nuts, and cocoa products. The Company's products are sold through its own sales organizations and through independent brokers, agents, and distributors to chain, wholesale, cooperative and independent grocery accounts, convenience stores, drug stores, value stores, bakeries, pharmacies, mass merchants, club stores and institutions. KHC's products are also sold online through various e-commerce platforms and retailers. KHC offers its products under various brands, such as Kraft, Oscar Mayer, Heinz, Philadelphia, Lunchables, Velveeta, Maxwell House, Kool-Aid, Ore-Ida, Jell-O, Master, Quero, Golden Circle and Wattie's.</v>
    <v>36000</v>
    <v>Nasdaq Stock Market</v>
    <v>XNAS</v>
    <v>XNAS</v>
    <v>1 Ppg Pl, PITTSBURGH, PA, 15222-5415 US</v>
    <v>40.65</v>
    <v>Food &amp; Tobacco</v>
    <v>Stock</v>
    <v>44917.737109443748</v>
    <v>716</v>
    <v>40.034999999999997</v>
    <v>49046197200</v>
    <v>THE KRAFT HEINZ COMPANY</v>
    <v>THE KRAFT HEINZ COMPANY</v>
    <v>40.22</v>
    <v>50.779800000000002</v>
    <v>40.18</v>
    <v>40.04</v>
    <v>1224930000</v>
    <v>KHC</v>
    <v>THE KRAFT HEINZ COMPANY (XNAS:KHC)</v>
    <v>2897028</v>
    <v>6123976</v>
    <v>2013</v>
  </rv>
  <rv s="2">
    <v>717</v>
  </rv>
  <rv s="0">
    <v>https://www.bing.com/financeapi/forcetrigger?t=a1qeh7&amp;q=XNAS%3aCSGP&amp;form=skydnc</v>
    <v>Learn more on Bing</v>
  </rv>
  <rv s="1">
    <v>en-US</v>
    <v>a1qeh7</v>
    <v>268435456</v>
    <v>1</v>
    <v>Powered by Refinitiv</v>
    <v>0</v>
    <v>COSTAR GROUP, INC. (XNAS:CSGP)</v>
    <v>2</v>
    <v>3</v>
    <v>Finance</v>
    <v>4</v>
    <v>85.37</v>
    <v>49</v>
    <v>0.90359999999999996</v>
    <v>-1.95</v>
    <v>-2.5019E-2</v>
    <v>USD</v>
    <v>CoStar Group, Inc. is a provider of online real estate marketplaces, information and analytics in the United States (U.S.) and United Kingdom (U.K.). The Company provides online marketplaces for commercial real estate, apartment rentals, residential real estate, land for sale and businesses for sale. The Company manages its business geographically in two segments: North America, which includes the United States and Canada, and International, which includes the Europe, Asia-Pacific and Latin America. It also offers online platforms that manages workflow and marketing for residential real estate agents and brokers and provide residential property listings for homebuyers. Its services are primarily derived from a database of building-specific information and offer customers specialized tools for accessing, analyzing and using its information. The Company’s brands include CoStar, Apartments.com, LoopNet, STR, Ten-X, BizBuySell, LandsofAmerica, Homes.com., and Homesnap.</v>
    <v>4742</v>
    <v>Nasdaq Stock Market</v>
    <v>XNAS</v>
    <v>XNAS</v>
    <v>1331 L St NW, WASHINGTON, DC, 20005 US</v>
    <v>77.41</v>
    <v>Software &amp; IT Services</v>
    <v>Stock</v>
    <v>44917.737048992967</v>
    <v>719</v>
    <v>75.98</v>
    <v>30904380698</v>
    <v>COSTAR GROUP, INC.</v>
    <v>COSTAR GROUP, INC.</v>
    <v>77.38</v>
    <v>91.042900000000003</v>
    <v>77.94</v>
    <v>75.989999999999995</v>
    <v>406690100</v>
    <v>CSGP</v>
    <v>COSTAR GROUP, INC. (XNAS:CSGP)</v>
    <v>324203</v>
    <v>3202294</v>
    <v>1998</v>
  </rv>
  <rv s="2">
    <v>720</v>
  </rv>
  <rv s="0">
    <v>https://www.bing.com/financeapi/forcetrigger?t=aythxm&amp;q=XNYS%3aVICI&amp;form=skydnc</v>
    <v>Learn more on Bing</v>
  </rv>
  <rv s="1">
    <v>en-US</v>
    <v>aythxm</v>
    <v>268435456</v>
    <v>1</v>
    <v>Powered by Refinitiv</v>
    <v>0</v>
    <v>VICI PROPERTIES INC. (XNYS:VICI)</v>
    <v>2</v>
    <v>3</v>
    <v>Finance</v>
    <v>4</v>
    <v>35.69</v>
    <v>26.23</v>
    <v>1.0091000000000001</v>
    <v>-0.91500000000000004</v>
    <v>-2.7913E-2</v>
    <v>USD</v>
    <v>VICI Properties Inc. is a real estate investment trust. The Company is primarily engaged in the business of owning and acquiring gaming, hospitality, and entertainment destinations, subject to long-term triple net leases. The Company segments include real property business and golf course business. The real property business segment consists of leased real property and real estate lending activities. The golf course business segment consists of approximately four golf courses. Its national, geographically diverse portfolio consists of approximately 28 properties, including Caesars Palace Las Vegas, Harrah’s Las Vegas, and the Venetian Resort, three of the entertainment facilities on the Las Vegas Strip. Across 62 million square feet and features approximately 25,000 hotel rooms and approximately 250 restaurants, bars, nightclubs, and sportsbooks. It owns approximately 34 acres of undeveloped or underdeveloped land on and adjacent to the Las Vegas Strip that is leased to Caesars.</v>
    <v>152</v>
    <v>New York Stock Exchange</v>
    <v>XNYS</v>
    <v>XNYS</v>
    <v>535 MADISON AVENUE, 20TH FLOOR, NEW YORK, NY, 10022 US</v>
    <v>32.630000000000003</v>
    <v>Residential &amp; Commercial REIT</v>
    <v>Stock</v>
    <v>44917.737094432814</v>
    <v>722</v>
    <v>31.37</v>
    <v>31781277899</v>
    <v>VICI PROPERTIES INC.</v>
    <v>VICI PROPERTIES INC.</v>
    <v>32.630000000000003</v>
    <v>30.629200000000001</v>
    <v>32.78</v>
    <v>31.864999999999998</v>
    <v>997372600</v>
    <v>VICI</v>
    <v>VICI PROPERTIES INC. (XNYS:VICI)</v>
    <v>3148843</v>
    <v>5810193</v>
    <v>2017</v>
  </rv>
  <rv s="2">
    <v>723</v>
  </rv>
  <rv s="0">
    <v>https://www.bing.com/financeapi/forcetrigger?t=a1wh7w&amp;q=XNYS%3aKEYS&amp;form=skydnc</v>
    <v>Learn more on Bing</v>
  </rv>
  <rv s="1">
    <v>en-US</v>
    <v>a1wh7w</v>
    <v>268435456</v>
    <v>1</v>
    <v>Powered by Refinitiv</v>
    <v>0</v>
    <v>KEYSIGHT TECHNOLOGIES, INC. (XNYS:KEYS)</v>
    <v>2</v>
    <v>3</v>
    <v>Finance</v>
    <v>4</v>
    <v>209.08</v>
    <v>127.93</v>
    <v>1.0581</v>
    <v>-6.7350000000000003</v>
    <v>-3.8691000000000003E-2</v>
    <v>USD</v>
    <v>Keysight Technologies, Inc. is a technology company. The Company is primarily engaged in providing electronic design and test solutions. It operates through two segments: Communications Solutions Group (CSG) and Electronics Industrial Solutions Group (EISG). Its CSG segment serves customers, including commercial communications and aerospace, defense, and government end markets. Its CSG’s solutions consist of electronic design and test software, electronic measurement instruments, systems and related services. Its EISG segment provides test and measurement solutions and related services across a set of electronic industrial end markets, focusing on applications in the automotive and energy industries and measurement solutions for consumer electronics, education, general electronics design and manufacturing, and semiconductor design and manufacturing. It also offers customization, consulting and optimization services throughout the product development lifecycle.</v>
    <v>15000</v>
    <v>New York Stock Exchange</v>
    <v>XNYS</v>
    <v>XNYS</v>
    <v>1400 Fountaingrove Pkwy, SANTA ROSA, CA, 95403 US</v>
    <v>172.87</v>
    <v>Machinery, Equipment &amp; Components</v>
    <v>Stock</v>
    <v>44917.73706231406</v>
    <v>725</v>
    <v>167.16</v>
    <v>29918744992</v>
    <v>KEYSIGHT TECHNOLOGIES, INC.</v>
    <v>KEYSIGHT TECHNOLOGIES, INC.</v>
    <v>172.87</v>
    <v>28.236699999999999</v>
    <v>174.07</v>
    <v>167.33500000000001</v>
    <v>178795500</v>
    <v>KEYS</v>
    <v>KEYSIGHT TECHNOLOGIES, INC. (XNYS:KEYS)</v>
    <v>244907</v>
    <v>991067</v>
    <v>2013</v>
  </rv>
  <rv s="2">
    <v>726</v>
  </rv>
  <rv s="0">
    <v>https://www.bing.com/financeapi/forcetrigger?t=a1vh4c&amp;q=XNAS%3aILMN&amp;form=skydnc</v>
    <v>Learn more on Bing</v>
  </rv>
  <rv s="1">
    <v>en-US</v>
    <v>a1vh4c</v>
    <v>268435456</v>
    <v>1</v>
    <v>Powered by Refinitiv</v>
    <v>0</v>
    <v>ILLUMINA, INC. (XNAS:ILMN)</v>
    <v>2</v>
    <v>3</v>
    <v>Finance</v>
    <v>4</v>
    <v>427.99990000000003</v>
    <v>173.45</v>
    <v>1.1446000000000001</v>
    <v>-5.52</v>
    <v>-2.7955000000000001E-2</v>
    <v>USD</v>
    <v>Illumina, Inc. is a provider of sequencing- and array-based solutions for genetic and genomic analysis. The Company operates through two segments: Core Illumina and GRAIL. Core Illumina products and services serve customers in the research, clinical and applied markets, and enable the adoption of a variety of genomic solutions. GRAIL is a healthcare company focused on early detection of multiple cancers. Its portfolio of integrated sequencing and microarray systems, consumables, and analysis tools is designed for genetic analysis. Customers use its platforms to perform whole genome, de novo, exome and ribonucleic acid (RNA) sequencing, and targeted resequencing of specific gene regions and genes. The Company's BeadArray technology produces arrays that can perform many assays simultaneously. Customers use its array-based genotyping consumables for a range of analyses, including diverse species, disease-related mutations, and genetic characteristics associated with cancer.</v>
    <v>9800</v>
    <v>Nasdaq Stock Market</v>
    <v>XNAS</v>
    <v>XNAS</v>
    <v>5200 Illumina Way, SAN DIEGO, CA, 92122 US</v>
    <v>196.11</v>
    <v>Healthcare Equipment &amp; Supplies</v>
    <v>Stock</v>
    <v>44917.737105173437</v>
    <v>728</v>
    <v>191.85</v>
    <v>30192162000</v>
    <v>ILLUMINA, INC.</v>
    <v>ILLUMINA, INC.</v>
    <v>194.7</v>
    <v>49.578400000000002</v>
    <v>197.46</v>
    <v>191.94</v>
    <v>157300000</v>
    <v>ILMN</v>
    <v>ILLUMINA, INC. (XNAS:ILMN)</v>
    <v>339886</v>
    <v>1130528</v>
    <v>2000</v>
  </rv>
  <rv s="2">
    <v>729</v>
  </rv>
  <rv s="0">
    <v>https://www.bing.com/financeapi/forcetrigger?t=a1r9cw&amp;q=XNAS%3aKDP&amp;form=skydnc</v>
    <v>Learn more on Bing</v>
  </rv>
  <rv s="1">
    <v>en-US</v>
    <v>a1r9cw</v>
    <v>268435456</v>
    <v>1</v>
    <v>Powered by Refinitiv</v>
    <v>0</v>
    <v>KEURIG DR PEPPER INC. (XNAS:KDP)</v>
    <v>2</v>
    <v>3</v>
    <v>Finance</v>
    <v>4</v>
    <v>41.31</v>
    <v>33.35</v>
    <v>0.66469999999999996</v>
    <v>-0.44</v>
    <v>-1.2044999999999998E-2</v>
    <v>USD</v>
    <v>Keurig Dr Pepper Inc. is a beverage company in North America. The Company has a diverse portfolio of flavored (non-cola) carbonated soft drinks (CSDs), non-carbonated beverages (NCBs), including water, ready-to-drink tea and coffee, juice, juice drinks, mixers, and specialty coffee, and is a producer of single serve brewing systems. The Company's segments include Coffee Systems, Packaged Beverages, Beverage Concentrates and Latin America Beverages. The Coffee Systems segment is a producer of single serve brewers and specialty coffee. Packaged Beverages and Latin America Beverages segment is principally a brand ownership, manufacturing, and distribution business. The Company’s brand portfolio includes CSD brands, such as Dr Pepper, Canada Dry, Schweppes, Crush, Sunkist, A&amp;W, 7UP, SunDrop, Squirt, Big Red, Hawaiian Punch and RC Cola, and NCB brands, which include Snapple, Mott's, Bai, Clamato, Hawaiian Punch, Core, Yoo-Hoo, ReaLemon, evian, Vita Coco, and Mr and Mrs T mixers.</v>
    <v>27500</v>
    <v>Nasdaq Stock Market</v>
    <v>XNAS</v>
    <v>XNAS</v>
    <v>53 South Ave, BURLINGTON, MA, 01803-4903 US</v>
    <v>36.53</v>
    <v>Beverages</v>
    <v>Stock</v>
    <v>44917.737102753905</v>
    <v>731</v>
    <v>36.075000000000003</v>
    <v>51112498590</v>
    <v>KEURIG DR PEPPER INC.</v>
    <v>KEURIG DR PEPPER INC.</v>
    <v>36.520000000000003</v>
    <v>28.62</v>
    <v>36.53</v>
    <v>36.090000000000003</v>
    <v>1416251000</v>
    <v>KDP</v>
    <v>KEURIG DR PEPPER INC. (XNAS:KDP)</v>
    <v>1838859</v>
    <v>7674171</v>
    <v>2007</v>
  </rv>
  <rv s="2">
    <v>732</v>
  </rv>
  <rv s="0">
    <v>https://www.bing.com/financeapi/forcetrigger?t=bpwpmw&amp;q=XWBO%3aRMD&amp;form=skydnc</v>
    <v>Learn more on Bing</v>
  </rv>
  <rv s="6">
    <v>en-US</v>
    <v>bpwpmw</v>
    <v>268435456</v>
    <v>1</v>
    <v>Powered by Refinitiv</v>
    <v>10</v>
    <v>RESMED INC. (XWBO:RMD)</v>
    <v>2</v>
    <v>11</v>
    <v>Finance</v>
    <v>12</v>
    <v>0.49209999999999998</v>
    <v>-2.0499999999999998</v>
    <v>-9.776E-3</v>
    <v>EUR</v>
    <v>ResMed Inc. is a holding company. The Company, through its subsidiaries, is engaged in the development, manufacturing, distribution and marketing of medical devices and cloud-based software applications that diagnose, treat and manage respiratory disorders, including sleep-disordered breathing, chronic obstructive pulmonary disease, neuromuscular disease and other chronic diseases. It also offers software solutions for a variety of out-of-hospital care providers. The Company has two segments: Sleep and Respiratory Care and the Software-as-a-Service. Sleep apnea includes obstructive sleep apnea and other respiratory disorders that occur during sleep. Its cloud-based digital health applications, along with its devices, are designed to provide connected care to improve patient outcomes. The Company's portfolio of products includes ventilation devices, diagnostic products, mask systems, headgear and other accessories, dental devices and cloud-based software informatics solutions.</v>
    <v>8160</v>
    <v>Wiener Boerse</v>
    <v>XWBO</v>
    <v>XWBO</v>
    <v>9001 Spectrum Center Blvd, SAN DIEGO, CA, 92123 US</v>
    <v>207.65</v>
    <v>Healthcare Equipment &amp; Supplies</v>
    <v>Stock</v>
    <v>44910.701388888891</v>
    <v>734</v>
    <v>202.3</v>
    <v>32352380000</v>
    <v>RESMED INC.</v>
    <v>RESMED INC.</v>
    <v>207.65</v>
    <v>36.39</v>
    <v>209.7</v>
    <v>207.65</v>
    <v>146483600</v>
    <v>RMD</v>
    <v>RESMED INC. (XWBO:RMD)</v>
    <v>45</v>
    <v>580900</v>
    <v>1994</v>
  </rv>
  <rv s="2">
    <v>735</v>
  </rv>
  <rv s="0">
    <v>https://www.bing.com/financeapi/forcetrigger?t=a1nihw&amp;q=XNYS%3aANET&amp;form=skydnc</v>
    <v>Learn more on Bing</v>
  </rv>
  <rv s="1">
    <v>en-US</v>
    <v>a1nihw</v>
    <v>268435456</v>
    <v>1</v>
    <v>Powered by Refinitiv</v>
    <v>0</v>
    <v>ARISTA NETWORKS, INC. (XNYS:ANET)</v>
    <v>2</v>
    <v>3</v>
    <v>Finance</v>
    <v>4</v>
    <v>148.57</v>
    <v>89.114999999999995</v>
    <v>1.3015000000000001</v>
    <v>-4.2350000000000003</v>
    <v>-3.4339000000000001E-2</v>
    <v>USD</v>
    <v>Arista Networks, Inc. is a supplier of cloud networking solutions that use software to address the needs of Internet companies, cloud service providers and enterprises. The Company cloud networking solutions consist of its Extensible Operating System (EOS), a set of network applications and its Gigabit Ethernet switching and routing platforms. Its cognitive single-tier Spline campus network extends EOS across the data center and campus wired and wireless workspace. The Company’s CloudVision is a network-wide approach for workload orchestration and automation, leverages EOS and Cognitive WiFi features, to deliver cloud networking solutions to its enterprise customers. The Company sells its products through both its direct sales force and its channel partners. The Company’s end customers span a range of industries and include large Internet companies, service providers, financial services organizations, government agencies, media and entertainment companies and others.</v>
    <v>2993</v>
    <v>New York Stock Exchange</v>
    <v>XNYS</v>
    <v>XNYS</v>
    <v>5453 Great America Pkwy, SANTA CLARA, CA, 95054 US</v>
    <v>122.22</v>
    <v>Communications &amp; Networking</v>
    <v>Stock</v>
    <v>44917.737115775002</v>
    <v>737</v>
    <v>119</v>
    <v>36392168797</v>
    <v>ARISTA NETWORKS, INC.</v>
    <v>ARISTA NETWORKS, INC.</v>
    <v>121.95</v>
    <v>33.603000000000002</v>
    <v>123.33</v>
    <v>119.095</v>
    <v>305572600</v>
    <v>ANET</v>
    <v>ARISTA NETWORKS, INC. (XNYS:ANET)</v>
    <v>601669</v>
    <v>1904679</v>
    <v>2011</v>
  </rv>
  <rv s="2">
    <v>738</v>
  </rv>
  <rv s="0">
    <v>https://www.bing.com/financeapi/forcetrigger?t=az6zf2&amp;q=XNYS%3aWELL&amp;form=skydnc</v>
    <v>Learn more on Bing</v>
  </rv>
  <rv s="1">
    <v>en-US</v>
    <v>az6zf2</v>
    <v>268435456</v>
    <v>1</v>
    <v>Powered by Refinitiv</v>
    <v>0</v>
    <v>WELLTOWER INC. (XNYS:WELL)</v>
    <v>2</v>
    <v>3</v>
    <v>Finance</v>
    <v>4</v>
    <v>99.43</v>
    <v>56.5</v>
    <v>1.0196000000000001</v>
    <v>-0.64</v>
    <v>-1.0005E-2</v>
    <v>USD</v>
    <v>Welltower Inc. is a real estate investment trust (REIT). It provides real estate capital to seniors housing operators, post-acute care providers and health systems. It owns interests in properties concentrated in markets in the United States, Canada and the United Kingdom, consisting of seniors housing and post-acute communities and outpatient medical properties. Its segments include Seniors Housing Operating, Triple-net and Outpatient Medical. The Seniors Housing Operating segment properties include assisted living, independent living/continuing care retirement communities, independent supportive living communities, care homes with and without nursing and combinations. The Triple-net segment invest in seniors housing and health care real estate through acquisition and financing of primarily single tenant properties. Properties acquired are primarily leased under triple-net leases. Outpatient Medical segment properties are leased to multiple tenants.</v>
    <v>464</v>
    <v>New York Stock Exchange</v>
    <v>XNYS</v>
    <v>XNYS</v>
    <v>4500 Dorr Street, TOLEDO, OH, 43615 US</v>
    <v>64.418300000000002</v>
    <v>Residential &amp; Commercial REIT</v>
    <v>Stock</v>
    <v>44917.737113610936</v>
    <v>740</v>
    <v>63</v>
    <v>29924786595</v>
    <v>WELLTOWER INC.</v>
    <v>WELLTOWER INC.</v>
    <v>63.18</v>
    <v>169.12100000000001</v>
    <v>63.97</v>
    <v>63.33</v>
    <v>472521500</v>
    <v>WELL</v>
    <v>WELLTOWER INC. (XNYS:WELL)</v>
    <v>554446</v>
    <v>3513325</v>
    <v>2022</v>
  </rv>
  <rv s="2">
    <v>741</v>
  </rv>
  <rv s="0">
    <v>https://www.bing.com/financeapi/forcetrigger?t=a1zo52&amp;q=XNYS%3aPEG&amp;form=skydnc</v>
    <v>Learn more on Bing</v>
  </rv>
  <rv s="1">
    <v>en-US</v>
    <v>a1zo52</v>
    <v>268435456</v>
    <v>1</v>
    <v>Powered by Refinitiv</v>
    <v>0</v>
    <v>PUBLIC SERVICE ENTERPRISE GROUP INCORPORATED (XNYS:PEG)</v>
    <v>2</v>
    <v>3</v>
    <v>Finance</v>
    <v>4</v>
    <v>75.61</v>
    <v>52.51</v>
    <v>0.58599999999999997</v>
    <v>-1.1802999999999999</v>
    <v>-1.9509000000000002E-2</v>
    <v>USD</v>
    <v>Public Service Enterprise Group Incorporated (PSEG) is a holding company. The Company is an energy company with operations located primarily in the Northeastern and Mid-Atlantic United States. The Company principally conducts its business through two direct wholly owned subsidiaries, Public Service Electric and Gas Company (PSE&amp;G) and PSEG Power LLC (PSEG Power). Its segments include PSE&amp;G and PSEG Power. Its PSE&amp;G segment is principally engaged in the transmission of electricity and distribution of electricity and natural gas in certain areas of New Jersey. PSE&amp;G also invests in regulated solar generation projects and energy-related programs in New Jersey. PSEG Power is a multi-regional energy supply company that integrates the operations of its merchant nuclear and fossil generating assets with its fuel supply functions through energy sales in energy markets primarily in the Northeast and Mid-Atlantic United States through its principal direct wholly owned subsidiaries.</v>
    <v>12684</v>
    <v>New York Stock Exchange</v>
    <v>XNYS</v>
    <v>XNYS</v>
    <v>80 Park Plaza, 9Th Floor, Corporate Accounting Services, NEWARK, NJ, 07102-4194 US</v>
    <v>60.4</v>
    <v>Multiline Utilities</v>
    <v>Stock</v>
    <v>44917.736966875003</v>
    <v>743</v>
    <v>59.319699999999997</v>
    <v>29597546519</v>
    <v>PUBLIC SERVICE ENTERPRISE GROUP INCORPORATED</v>
    <v>PUBLIC SERVICE ENTERPRISE GROUP INCORPORATED</v>
    <v>60.3</v>
    <v>44.194499999999998</v>
    <v>60.5</v>
    <v>59.319699999999997</v>
    <v>498949700</v>
    <v>PEG</v>
    <v>PUBLIC SERVICE ENTERPRISE GROUP INCORPORATED (XNYS:PEG)</v>
    <v>538430</v>
    <v>2924832</v>
    <v>1985</v>
  </rv>
  <rv s="2">
    <v>744</v>
  </rv>
  <rv s="0">
    <v>https://www.bing.com/financeapi/forcetrigger?t=a22i27&amp;q=XNAS%3aSBAC&amp;form=skydnc</v>
    <v>Learn more on Bing</v>
  </rv>
  <rv s="1">
    <v>en-US</v>
    <v>a22i27</v>
    <v>268435456</v>
    <v>1</v>
    <v>Powered by Refinitiv</v>
    <v>0</v>
    <v>SBA Communications Corporation (XNAS:SBAC)</v>
    <v>2</v>
    <v>3</v>
    <v>Finance</v>
    <v>4</v>
    <v>391.15</v>
    <v>236.2</v>
    <v>0.48709999999999998</v>
    <v>-2.91</v>
    <v>-1.0367999999999999E-2</v>
    <v>USD</v>
    <v>SBA Communications Corporation is an independent owner and operator of wireless communications infrastructure, including tower structures, rooftops, and other structures that support antennas used for wireless communications, which it refers to as towers or sites. The Company's segments include site leasing and site development. The site leasing segment includes managed and sublease businesses. The site leasing business includes two segments, such as domestic site leasing and international site leasing. In its site leasing business, it leases antenna space to wireless service providers on towers that it owns or operates and manages rooftop and tower sites for property owners under various contractual arrangements. The site development segment includes both consulting and construction-related activities. In its site development business, it assists wireless service providers in developing and maintaining their own wireless service networks. The Company owns approximately 34,177 towers.</v>
    <v>1596</v>
    <v>Nasdaq Stock Market</v>
    <v>XNAS</v>
    <v>XNAS</v>
    <v>8051 Congress Avenue, BOCA RATON, FL, 33487 US</v>
    <v>281.7</v>
    <v>Residential &amp; Commercial REIT</v>
    <v>Stock</v>
    <v>44917.737049560157</v>
    <v>746</v>
    <v>276.29000000000002</v>
    <v>30303770000</v>
    <v>SBA Communications Corporation</v>
    <v>SBA Communications Corporation</v>
    <v>276.33999999999997</v>
    <v>75.576999999999998</v>
    <v>280.68</v>
    <v>277.77</v>
    <v>107965500</v>
    <v>SBAC</v>
    <v>SBA Communications Corporation (XNAS:SBAC)</v>
    <v>178491</v>
    <v>687003</v>
    <v>2016</v>
  </rv>
  <rv s="2">
    <v>747</v>
  </rv>
  <rv s="0">
    <v>https://www.bing.com/financeapi/forcetrigger?t=a25sk2&amp;q=XNYS%3aWEC&amp;form=skydnc</v>
    <v>Learn more on Bing</v>
  </rv>
  <rv s="1">
    <v>en-US</v>
    <v>a25sk2</v>
    <v>268435456</v>
    <v>1</v>
    <v>Powered by Refinitiv</v>
    <v>0</v>
    <v>WEC ENERGY GROUP, INC. (XNYS:WEC)</v>
    <v>2</v>
    <v>3</v>
    <v>Finance</v>
    <v>4</v>
    <v>108.39</v>
    <v>80.819999999999993</v>
    <v>0.3745</v>
    <v>-1.335</v>
    <v>-1.4067000000000001E-2</v>
    <v>USD</v>
    <v>WEC Energy Group, Inc. is a diversified holding company. The Company, through its wholly owned subsidiaries, provides or invests in regulated natural gas and electricity, and renewable energy, as well as non-regulated renewable energy. The Company’s segment includes Wisconsin; Illinois; Other States and Electric Transmission. Its non-utility energy infrastructure segment includes We Power, Bluewater, WECI;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 Its We Power segment owns and leases generating facilities to WE.</v>
    <v>6938</v>
    <v>New York Stock Exchange</v>
    <v>XNYS</v>
    <v>XNYS</v>
    <v>PO Box 1331, 231 W Michigan St, MILWAUKEE, WI, 53201-1331 US</v>
    <v>95.06</v>
    <v>Electrical Utilities &amp; IPPs</v>
    <v>Stock</v>
    <v>44917.737083147658</v>
    <v>749</v>
    <v>93.543800000000005</v>
    <v>29513628992</v>
    <v>WEC ENERGY GROUP, INC.</v>
    <v>WEC ENERGY GROUP, INC.</v>
    <v>94.86</v>
    <v>21.751899999999999</v>
    <v>94.9</v>
    <v>93.564999999999998</v>
    <v>315434500</v>
    <v>WEC</v>
    <v>WEC ENERGY GROUP, INC. (XNYS:WEC)</v>
    <v>446759</v>
    <v>1543148</v>
    <v>1981</v>
  </rv>
  <rv s="2">
    <v>750</v>
  </rv>
  <rv s="0">
    <v>https://www.bing.com/financeapi/forcetrigger?t=a214h7&amp;q=XNYS%3aPPG&amp;form=skydnc</v>
    <v>Learn more on Bing</v>
  </rv>
  <rv s="1">
    <v>en-US</v>
    <v>a214h7</v>
    <v>268435456</v>
    <v>1</v>
    <v>Powered by Refinitiv</v>
    <v>0</v>
    <v>PPG INDUSTRIES, INC. (XNYS:PPG)</v>
    <v>2</v>
    <v>3</v>
    <v>Finance</v>
    <v>4</v>
    <v>177.32</v>
    <v>107.06</v>
    <v>1.1745000000000001</v>
    <v>-3.36</v>
    <v>-2.6425000000000001E-2</v>
    <v>USD</v>
    <v>PPG Industries, Inc. manufactures and distributes a range of paints, coatings and specialty materials. The Company operates through two segments: Performance Coatings and Industrial Coatings. The Performance Coatings segment primarily supplies a range of protective and decorative coatings, sealants and finishes along with pavement marking products, paint strippers, stains and related chemicals, as well as transparencies and transparent armor. The Industrial Coatings segment primarily supplies a range of protective and decorative coatings and finishes along with adhesives, sealants, metal pretreatment products, optical monomers and coatings, low-friction coatings, precipitated silicas and other specialty materials. Its Performance Coatings brands include PPG, GLIDDEN, COMEX, OLYMPIC, DULUX, SIGMA, HISTOR, SEIGNEURIE, PEINTURES GAUTHIER, and JOHNSTONE'S, among others. Its Industrial Coatings brands include PPG and TESLIN. It supplies its products to customers in an array of end-uses.</v>
    <v>49300</v>
    <v>New York Stock Exchange</v>
    <v>XNYS</v>
    <v>XNYS</v>
    <v>One Ppg Pl 40 East, PITTSBURGH, PA, 15272 US</v>
    <v>125.355</v>
    <v>Chemicals</v>
    <v>Stock</v>
    <v>44917.737090914059</v>
    <v>752</v>
    <v>123.79</v>
    <v>29094041846</v>
    <v>PPG INDUSTRIES, INC.</v>
    <v>PPG INDUSTRIES, INC.</v>
    <v>125.29</v>
    <v>28.590599999999998</v>
    <v>127.15</v>
    <v>123.79</v>
    <v>235027400</v>
    <v>PPG</v>
    <v>PPG INDUSTRIES, INC. (XNYS:PPG)</v>
    <v>195551</v>
    <v>1107554</v>
    <v>1883</v>
  </rv>
  <rv s="2">
    <v>753</v>
  </rv>
  <rv s="0">
    <v>https://www.bing.com/financeapi/forcetrigger?t=a226jc&amp;q=XNYS%3aROK&amp;form=skydnc</v>
    <v>Learn more on Bing</v>
  </rv>
  <rv s="1">
    <v>en-US</v>
    <v>a226jc</v>
    <v>268435456</v>
    <v>1</v>
    <v>Powered by Refinitiv</v>
    <v>0</v>
    <v>ROCKWELL AUTOMATION, INC. (XNYS:ROK)</v>
    <v>2</v>
    <v>3</v>
    <v>Finance</v>
    <v>4</v>
    <v>350.98</v>
    <v>190.08</v>
    <v>1.4443999999999999</v>
    <v>-6.4878999999999998</v>
    <v>-2.5014999999999999E-2</v>
    <v>USD</v>
    <v>Rockwell Automation, Inc. is a provider of industrial automation and digital transformation. The Company’s segments include Intelligent Devices, Software &amp; Control, and Lifecycle Services. The Intelligent Devices segment includes drives, motion, safety, sensing, industrial components, and configured-to-order products. The Software &amp; Control segment includes control and visualization software and hardware, information software, and network and security infrastructure. The Lifecycle Services segment includes consulting, professional services, and solutions, connected services, and maintenance services, as well as the Sensia joint venture. The Company's products include hardware, software, and configured-to-order products. Its solutions include custom-engineered systems and software. Its services include customer technical support and repair, asset management and optimization consulting, and training. It serves various industries, such as aerospace, cement, chemical, and entertainment.</v>
    <v>26000</v>
    <v>New York Stock Exchange</v>
    <v>XNYS</v>
    <v>XNYS</v>
    <v>1201 S 2nd St, MILWAUKEE, WI, 53204 US</v>
    <v>257.91000000000003</v>
    <v>Machinery, Equipment &amp; Components</v>
    <v>Stock</v>
    <v>44917.737053784374</v>
    <v>755</v>
    <v>252.68</v>
    <v>29785980000</v>
    <v>ROCKWELL AUTOMATION, INC.</v>
    <v>ROCKWELL AUTOMATION, INC.</v>
    <v>257.16000000000003</v>
    <v>32.537100000000002</v>
    <v>259.36</v>
    <v>252.87209999999999</v>
    <v>114844100</v>
    <v>ROK</v>
    <v>ROCKWELL AUTOMATION, INC. (XNYS:ROK)</v>
    <v>120511</v>
    <v>712491</v>
    <v>1996</v>
  </rv>
  <rv s="2">
    <v>756</v>
  </rv>
  <rv s="0">
    <v>https://www.bing.com/financeapi/forcetrigger?t=a1ogsm&amp;q=XNAS%3aBKR&amp;form=skydnc</v>
    <v>Learn more on Bing</v>
  </rv>
  <rv s="1">
    <v>en-US</v>
    <v>a1ogsm</v>
    <v>268435456</v>
    <v>1</v>
    <v>Powered by Refinitiv</v>
    <v>0</v>
    <v>BAKER HUGHES COMPANY (XNAS:BKR)</v>
    <v>2</v>
    <v>3</v>
    <v>Finance</v>
    <v>4</v>
    <v>39.78</v>
    <v>20.414999999999999</v>
    <v>1.4863999999999999</v>
    <v>-1.2350000000000001</v>
    <v>-4.2077999999999997E-2</v>
    <v>USD</v>
    <v>Baker Hughes Company is an energy technology company. The Company’s segments include Oilfield Services (OFS), Oilfield Equipment (OFE), Turbomachinery &amp; Process Solutions (TPS) and Digital Solutions (DS). The OFS segment designs and manufactures products and provides services for onshore and offshore oil and gas operations across the lifecycle of a well, including exploration, drilling, evaluation, completion, production, intervention and abandonment. OFE provides a portfolio of mission-critical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v>
    <v>55000</v>
    <v>Nasdaq Stock Market</v>
    <v>XNAS</v>
    <v>XNAS</v>
    <v>17021 Aldine Westfield Rd, HOUSTON, TX, 77073-5101 US</v>
    <v>29.43</v>
    <v>Oil &amp; Gas Related Equipment and Services</v>
    <v>Stock</v>
    <v>44917.737129189059</v>
    <v>758</v>
    <v>28.1</v>
    <v>29598520000</v>
    <v>BAKER HUGHES COMPANY</v>
    <v>BAKER HUGHES COMPANY</v>
    <v>29.39</v>
    <v>85.287700000000001</v>
    <v>29.35</v>
    <v>28.114999999999998</v>
    <v>1008468000</v>
    <v>BKR</v>
    <v>BAKER HUGHES COMPANY (XNAS:BKR)</v>
    <v>1985278</v>
    <v>9037791</v>
    <v>2016</v>
  </rv>
  <rv s="2">
    <v>759</v>
  </rv>
  <rv s="0">
    <v>https://www.bing.com/financeapi/forcetrigger?t=a1r63m&amp;q=XNAS%3aDLTR&amp;form=skydnc</v>
    <v>Learn more on Bing</v>
  </rv>
  <rv s="1">
    <v>en-US</v>
    <v>a1r63m</v>
    <v>268435456</v>
    <v>1</v>
    <v>Powered by Refinitiv</v>
    <v>0</v>
    <v>DOLLAR TREE, INC. (XNAS:DLTR)</v>
    <v>2</v>
    <v>3</v>
    <v>Finance</v>
    <v>4</v>
    <v>177.19</v>
    <v>123.62</v>
    <v>0.70840000000000003</v>
    <v>-1.915</v>
    <v>-1.3661000000000001E-2</v>
    <v>USD</v>
    <v>Dollar Tree, Inc. is an operator of discount variety stores. The Company’s business segments include Dollar Tree and Family Dollar. Dollar Tree segment is the operator of discount variety stores offering merchandise predominantly at the fixed price. Its stores are operating under the brand names Dollar Tree and Dollar Tree Canada. It operates 15 distribution centers in the United States and two in Canada. Family Dollar segment operates general merchandise retail discount stores providing customers with a selection of merchandise in convenient neighborhood stores. The Family Dollar segment consists of its store operations under the Family Dollar brand and 10 distribution centers. Family Dollar stores segment consists of consumable merchandise, hardware and automotive supplies, diapers, batteries, pet food and supplies, seasonal and electronics merchandise, and apparel and accessories merchandise. It also owns trademarks, including Family Dollar and Family Dollar Stores.</v>
    <v>61886</v>
    <v>Nasdaq Stock Market</v>
    <v>XNAS</v>
    <v>XNAS</v>
    <v>N/A, 500 Volvo Parkway, CHESAPEAKE, VA, 23320 US</v>
    <v>140.77000000000001</v>
    <v>Diversified Retail</v>
    <v>Stock</v>
    <v>44917.737031955468</v>
    <v>761</v>
    <v>137.93</v>
    <v>30582074892</v>
    <v>DOLLAR TREE, INC.</v>
    <v>DOLLAR TREE, INC.</v>
    <v>140.02000000000001</v>
    <v>19.615200000000002</v>
    <v>140.18</v>
    <v>138.26499999999999</v>
    <v>221184500</v>
    <v>DLTR</v>
    <v>DOLLAR TREE, INC. (XNAS:DLTR)</v>
    <v>571220</v>
    <v>2661558</v>
    <v>2008</v>
  </rv>
  <rv s="2">
    <v>762</v>
  </rv>
  <rv s="0">
    <v>https://www.bing.com/financeapi/forcetrigger?t=c4xjc7&amp;q=XNAS%3aCEG&amp;form=skydnc</v>
    <v>Learn more on Bing</v>
  </rv>
  <rv s="1">
    <v>en-US</v>
    <v>c4xjc7</v>
    <v>268435456</v>
    <v>1</v>
    <v>Powered by Refinitiv</v>
    <v>0</v>
    <v>CONSTELLATION ENERGY CORPORATION. (XNAS:CEG)</v>
    <v>2</v>
    <v>3</v>
    <v>Finance</v>
    <v>4</v>
    <v>97.89</v>
    <v>38</v>
    <v>1.0409999999999999</v>
    <v>-2.63</v>
    <v>-2.9336000000000001E-2</v>
    <v>USD</v>
    <v>Constellation Energy Corporation, formerly Constellation Newholdco, Inc., is a clean energy company. The Company is focused on carbon-free electricity. It is a supplier of clean energy and sustainable solutions to homes, businesses, public sector, community aggregations and a range of wholesale customers, such as municipalities, cooperatives, and other strategics across the continental United States. The Company also sells renewable energy and other energy-related products and services. It has five reportable segments consisting of the Mid-Atlantic, Midwest, New York, ERCOT, and Other Power Regions. The Company is comprised of two primary business units: Constellation NewEnergy, Inc. and Exelon Generation Company, LLC (Generation). The combined Company operates in approximately 48 states, Canada and the United Kingdom.</v>
    <v>11696</v>
    <v>Nasdaq Stock Market</v>
    <v>XNAS</v>
    <v>XNAS</v>
    <v>1310 Point Street, 52Nd Floor, BALTIMORE, MD, 21231 US</v>
    <v>89.375</v>
    <v>Electrical Utilities &amp; IPPs</v>
    <v>Stock</v>
    <v>44917.737137731252</v>
    <v>764</v>
    <v>86.9</v>
    <v>28457097658</v>
    <v>CONSTELLATION ENERGY CORPORATION.</v>
    <v>CONSTELLATION ENERGY CORPORATION.</v>
    <v>89.13</v>
    <v>44.336199999999998</v>
    <v>89.65</v>
    <v>87.02</v>
    <v>327017900</v>
    <v>CEG</v>
    <v>CONSTELLATION ENERGY CORPORATION. (XNAS:CEG)</v>
    <v>533945</v>
    <v>1754949</v>
    <v>2021</v>
  </rv>
  <rv s="2">
    <v>765</v>
  </rv>
  <rv s="0">
    <v>https://www.bing.com/financeapi/forcetrigger?t=a1z6nm&amp;q=XNYS%3aOKE&amp;form=skydnc</v>
    <v>Learn more on Bing</v>
  </rv>
  <rv s="1">
    <v>en-US</v>
    <v>a1z6nm</v>
    <v>268435456</v>
    <v>1</v>
    <v>Powered by Refinitiv</v>
    <v>0</v>
    <v>ONEOK, INC. (XNYS:OKE)</v>
    <v>2</v>
    <v>3</v>
    <v>Finance</v>
    <v>4</v>
    <v>75.069999999999993</v>
    <v>50.5</v>
    <v>1.6564000000000001</v>
    <v>-1.6598999999999999</v>
    <v>-2.5533E-2</v>
    <v>USD</v>
    <v>ONEOK, Inc. is a midstream service provider. The Company owns natural gas liquids (NGLs) systems, connecting NGL supply in the Rocky Mountain, Permian and Mid-Continent regions with market centers and a network of natural gas gathering, processing, storage, and transportation assets. The Company operates through three segments: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end-users.</v>
    <v>2847</v>
    <v>New York Stock Exchange</v>
    <v>XNYS</v>
    <v>XNYS</v>
    <v>100 W 5th St, TULSA, OK, 74103 US</v>
    <v>64.73</v>
    <v>Oil &amp; Gas Related Equipment and Services</v>
    <v>Stock</v>
    <v>44917.737113645315</v>
    <v>767</v>
    <v>63.32</v>
    <v>28314567925</v>
    <v>ONEOK, INC.</v>
    <v>ONEOK, INC.</v>
    <v>64.67</v>
    <v>18.046700000000001</v>
    <v>65.010000000000005</v>
    <v>63.350099999999998</v>
    <v>446953800</v>
    <v>OKE</v>
    <v>ONEOK, INC. (XNYS:OKE)</v>
    <v>674333</v>
    <v>2600285</v>
    <v>1997</v>
  </rv>
  <rv s="2">
    <v>768</v>
  </rv>
  <rv s="0">
    <v>https://www.bing.com/financeapi/forcetrigger?t=a1s6ww&amp;q=XNYS%3aES&amp;form=skydnc</v>
    <v>Learn more on Bing</v>
  </rv>
  <rv s="1">
    <v>en-US</v>
    <v>a1s6ww</v>
    <v>268435456</v>
    <v>1</v>
    <v>Powered by Refinitiv</v>
    <v>0</v>
    <v>Eversource Energy (XNYS:ES)</v>
    <v>2</v>
    <v>3</v>
    <v>Finance</v>
    <v>4</v>
    <v>94.63</v>
    <v>70.540000000000006</v>
    <v>0.48420000000000002</v>
    <v>-1.6850000000000001</v>
    <v>-2.0064000000000002E-2</v>
    <v>USD</v>
    <v>Eversource Energy is a utility holding company that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 Its subsidiaries include NSTAR Electric Company and others.</v>
    <v>9227</v>
    <v>New York Stock Exchange</v>
    <v>XNYS</v>
    <v>XNYS</v>
    <v>300 Cadwell Dr, SPRINGFIELD, MA, 01104-1742 US</v>
    <v>84</v>
    <v>Electrical Utilities &amp; IPPs</v>
    <v>Stock</v>
    <v>44917.737105231252</v>
    <v>770</v>
    <v>82.277500000000003</v>
    <v>28663957483</v>
    <v>Eversource Energy</v>
    <v>Eversource Energy</v>
    <v>83.8</v>
    <v>20.8948</v>
    <v>83.98</v>
    <v>82.295000000000002</v>
    <v>348307400</v>
    <v>ES</v>
    <v>Eversource Energy (XNYS:ES)</v>
    <v>385454</v>
    <v>1708533</v>
    <v>1927</v>
  </rv>
  <rv s="2">
    <v>771</v>
  </rv>
  <rv s="0">
    <v>https://www.bing.com/financeapi/forcetrigger?t=a1wmu2&amp;q=XNYS%3aKR&amp;form=skydnc</v>
    <v>Learn more on Bing</v>
  </rv>
  <rv s="1">
    <v>en-US</v>
    <v>a1wmu2</v>
    <v>268435456</v>
    <v>1</v>
    <v>Powered by Refinitiv</v>
    <v>0</v>
    <v>THE KROGER CO. (XNYS:KR)</v>
    <v>2</v>
    <v>3</v>
    <v>Finance</v>
    <v>4</v>
    <v>62.78</v>
    <v>41.814999999999998</v>
    <v>0.51949999999999996</v>
    <v>0.21</v>
    <v>4.7229999999999998E-3</v>
    <v>USD</v>
    <v>The Kroger Co. is a food retailing company that owns and operates supermarkets, multi-department stores and fulfillment centers throughout the United States. The Company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The Company also owns store equipment, fixtures, and leasehold improvements, as well as processing and food production equipment. The Company offers personalized, order online, pick up at the store services and also provides home delivery services. In addition, the Company also retails products online. The Company's brands include Private Selection, The Kroger, Big K, Check This Out, Heritage Farm, Simple Truth and Simple Truth Organic.</v>
    <v>420000</v>
    <v>New York Stock Exchange</v>
    <v>XNYS</v>
    <v>XNYS</v>
    <v>1014 Vine St, CINCINNATI, OH, 45202-1141 US</v>
    <v>44.765000000000001</v>
    <v>Food &amp; Drug Retailing</v>
    <v>Stock</v>
    <v>44917.737092453128</v>
    <v>773</v>
    <v>44.225000000000001</v>
    <v>31975764273</v>
    <v>THE KROGER CO.</v>
    <v>THE KROGER CO.</v>
    <v>44.53</v>
    <v>13.964399999999999</v>
    <v>44.46</v>
    <v>44.67</v>
    <v>715821900</v>
    <v>KR</v>
    <v>THE KROGER CO. (XNYS:KR)</v>
    <v>1450947</v>
    <v>5709564</v>
    <v>1902</v>
  </rv>
  <rv s="2">
    <v>774</v>
  </rv>
  <rv s="0">
    <v>https://www.bing.com/financeapi/forcetrigger?t=a23r27&amp;q=XNYS%3aSTT&amp;form=skydnc</v>
    <v>Learn more on Bing</v>
  </rv>
  <rv s="1">
    <v>en-US</v>
    <v>a23r27</v>
    <v>268435456</v>
    <v>1</v>
    <v>Powered by Refinitiv</v>
    <v>0</v>
    <v>STATE STREET CORPORATION (XNYS:STT)</v>
    <v>2</v>
    <v>3</v>
    <v>Finance</v>
    <v>4</v>
    <v>104.87</v>
    <v>58.615000000000002</v>
    <v>1.5944</v>
    <v>-2.68</v>
    <v>-3.4049000000000003E-2</v>
    <v>USD</v>
    <v>State Street Corporation is a financial holding company. The Company, through its subsidiary, State Street Bank and Trust Company (State Street Bank), provides a range of financial products and services to institutional investors across the world. It operates through two lines of business: Investment Servicing and Investment Management. Its Investment Servicing line of business performs custody and related value-added functions, such as providing institutional investors with clearing, settlement and payment services. It operates through State Street Institutional Services, State Street Global Markets, State Street Digital and Charles River Development. Its Investment Management line of business, through State Street Global Advisors, provides a range of investment management strategies and products for its clients. Its clients include mutual funds, collective investment funds and other investment pools, corporate and public retirement plans, insurance companies and others.</v>
    <v>41354</v>
    <v>New York Stock Exchange</v>
    <v>XNYS</v>
    <v>XNYS</v>
    <v>One Lincoln Street, BOSTON, MA, 02111 US</v>
    <v>78.22</v>
    <v>Investment Banking &amp; Investment Services</v>
    <v>Stock</v>
    <v>44917.737036608596</v>
    <v>776</v>
    <v>76.010000000000005</v>
    <v>27898463406</v>
    <v>STATE STREET CORPORATION</v>
    <v>STATE STREET CORPORATION</v>
    <v>77.959999999999994</v>
    <v>11.1477</v>
    <v>78.709999999999994</v>
    <v>76.03</v>
    <v>366940200</v>
    <v>STT</v>
    <v>STATE STREET CORPORATION (XNYS:STT)</v>
    <v>326510</v>
    <v>3177186</v>
    <v>1969</v>
  </rv>
  <rv s="2">
    <v>777</v>
  </rv>
  <rv s="0">
    <v>https://www.bing.com/financeapi/forcetrigger?t=a1r5fr&amp;q=XNYS%3aDLR&amp;form=skydnc</v>
    <v>Learn more on Bing</v>
  </rv>
  <rv s="1">
    <v>en-US</v>
    <v>a1r5fr</v>
    <v>268435456</v>
    <v>1</v>
    <v>Powered by Refinitiv</v>
    <v>0</v>
    <v>DIGITAL REALTY TRUST, INC. (XNYS:DLR)</v>
    <v>2</v>
    <v>3</v>
    <v>Finance</v>
    <v>4</v>
    <v>178.22</v>
    <v>85.76</v>
    <v>0.49769999999999998</v>
    <v>-2.04</v>
    <v>-2.0309000000000001E-2</v>
    <v>USD</v>
    <v>Digital Realty Trust, Inc. is a real estate investment trust, which is engaged in the business of owning, acquiring, developing and operating data centers. The Company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The Company’s PlatformDIGITAL is a global data center platform for scaling digital business which enables customers to deploy their critical infrastructure with a global data center provider. PlatformDIGITAL is also combines its global presence with Pervasive Data Center Architecture (PDx) solution for digital business and managing data.</v>
    <v>3030</v>
    <v>New York Stock Exchange</v>
    <v>XNYS</v>
    <v>XNYS</v>
    <v>5707 Southwest Parkway, Building 1, Suite 275, AUSTIN, TX, 78735 US</v>
    <v>100.67</v>
    <v>Residential &amp; Commercial REIT</v>
    <v>Stock</v>
    <v>44917.737122592189</v>
    <v>779</v>
    <v>98.41</v>
    <v>28295069543</v>
    <v>DIGITAL REALTY TRUST, INC.</v>
    <v>DIGITAL REALTY TRUST, INC.</v>
    <v>99.52</v>
    <v>20.614899999999999</v>
    <v>100.45</v>
    <v>98.41</v>
    <v>287522300</v>
    <v>DLR</v>
    <v>DIGITAL REALTY TRUST, INC. (XNYS:DLR)</v>
    <v>556222</v>
    <v>1952736</v>
    <v>2004</v>
  </rv>
  <rv s="2">
    <v>780</v>
  </rv>
  <rv s="0">
    <v>https://www.bing.com/financeapi/forcetrigger?t=a1qhz2&amp;q=XNAS%3aCTSH&amp;form=skydnc</v>
    <v>Learn more on Bing</v>
  </rv>
  <rv s="1">
    <v>en-US</v>
    <v>a1qhz2</v>
    <v>268435456</v>
    <v>1</v>
    <v>Powered by Refinitiv</v>
    <v>0</v>
    <v>COGNIZANT TECHNOLOGY SOLUTIONS CORPORATION (XNAS:CTSH)</v>
    <v>2</v>
    <v>3</v>
    <v>Finance</v>
    <v>4</v>
    <v>93.468000000000004</v>
    <v>51.33</v>
    <v>1.0629</v>
    <v>-1.1299999999999999</v>
    <v>-2.0312999999999998E-2</v>
    <v>USD</v>
    <v>Cognizant Technology Solutions Corporation is a professional services company. Its services include digital services and solutions, consulting, application development, systems integration, application testing, application maintenance, infrastructure services and business process services. It is focused on areas, namely Internet of Things (IoT), digital engineering, data and cloud. The Company operates through four segments: Financial Services, Healthcare, Products and Resources, and Communications, Media and Technology. The Healthcare segment consists of healthcare providers and payers as well as life sciences companies, including pharmaceutical, biotech and medical device companies. The Products and Resources segment includes manufacturers, retailers, travel and hospitality companies, as well as companies providing logistics, energy and utility services. Its Communications, Media and Technology includes information, media and entertainment, communications and technology companies.</v>
    <v>349400</v>
    <v>Nasdaq Stock Market</v>
    <v>XNAS</v>
    <v>XNAS</v>
    <v>300 Frank W. Burr Blvd., Ste. 36, 6 Fl., TEANECK, NJ, 07666 US</v>
    <v>55.14</v>
    <v>Software &amp; IT Services</v>
    <v>Stock</v>
    <v>44917.73710383047</v>
    <v>782</v>
    <v>54.48</v>
    <v>28008716300</v>
    <v>COGNIZANT TECHNOLOGY SOLUTIONS CORPORATION</v>
    <v>COGNIZANT TECHNOLOGY SOLUTIONS CORPORATION</v>
    <v>55.07</v>
    <v>12.3863</v>
    <v>55.63</v>
    <v>54.5</v>
    <v>513921400</v>
    <v>CTSH</v>
    <v>COGNIZANT TECHNOLOGY SOLUTIONS CORPORATION (XNAS:CTSH)</v>
    <v>1038652</v>
    <v>4202797</v>
    <v>1988</v>
  </rv>
  <rv s="2">
    <v>783</v>
  </rv>
  <rv s="0">
    <v>https://www.bing.com/financeapi/forcetrigger?t=a1r1lh&amp;q=XNYS%3aDHI&amp;form=skydnc</v>
    <v>Learn more on Bing</v>
  </rv>
  <rv s="1">
    <v>en-US</v>
    <v>a1r1lh</v>
    <v>268435456</v>
    <v>1</v>
    <v>Powered by Refinitiv</v>
    <v>0</v>
    <v>D.R. HORTON, INC. (XNYS:DHI)</v>
    <v>2</v>
    <v>3</v>
    <v>Finance</v>
    <v>4</v>
    <v>108.99</v>
    <v>59.25</v>
    <v>1.4988999999999999</v>
    <v>-1.7</v>
    <v>-1.8942000000000001E-2</v>
    <v>USD</v>
    <v>D.R. Horton, Inc. is a homebuilding company. The Company is engaged in the acquisition and development of land and the construction and sale of residential homes. Its segments include homebuilding, Forestar lot development, financial services, and rental operations. Its homebuilding business operates in 106 markets across 33 states. Its Forestar lot development segment operates in 53 markets across 21 states. Its financial services segment provides mortgage financing and title agency services to homebuyers in many of the Company’s homebuilding markets. Its rental segment consists of multi-family and single-family rental operations. The multi-family rental operations develop, construct, lease and sell residential rental properties. The single-family rental operations primarily construct and lease single-family homes within a community and then market each community for a bulk sale of rental homes. Its brands include Emerald Homes, Express Homes and Freedom Homes.</v>
    <v>13237</v>
    <v>New York Stock Exchange</v>
    <v>XNYS</v>
    <v>XNYS</v>
    <v>1341 Horton Cir, ARLINGTON, TX, 76011-4310 US</v>
    <v>89.27</v>
    <v>Homebuilding &amp; Construction Supplies</v>
    <v>Stock</v>
    <v>44917.737107985937</v>
    <v>785</v>
    <v>88</v>
    <v>30337442595</v>
    <v>D.R. HORTON, INC.</v>
    <v>D.R. HORTON, INC.</v>
    <v>88.62</v>
    <v>5.4280999999999997</v>
    <v>89.75</v>
    <v>88.05</v>
    <v>344547900</v>
    <v>DHI</v>
    <v>D.R. HORTON, INC. (XNYS:DHI)</v>
    <v>1072453</v>
    <v>2693185</v>
    <v>1991</v>
  </rv>
  <rv s="2">
    <v>786</v>
  </rv>
  <rv s="0">
    <v>https://www.bing.com/financeapi/forcetrigger?t=a1z8jc&amp;q=XNAS%3aON&amp;form=skydnc</v>
    <v>Learn more on Bing</v>
  </rv>
  <rv s="1">
    <v>en-US</v>
    <v>a1z8jc</v>
    <v>268435456</v>
    <v>1</v>
    <v>Powered by Refinitiv</v>
    <v>0</v>
    <v>ON SEMICONDUCTOR CORPORATION (XNAS:ON)</v>
    <v>2</v>
    <v>3</v>
    <v>Finance</v>
    <v>4</v>
    <v>77.281199999999998</v>
    <v>44.76</v>
    <v>1.7476</v>
    <v>-3.93</v>
    <v>-6.0423999999999999E-2</v>
    <v>USD</v>
    <v>ON Semiconductor Corporation provides intelligent sensing and power solutions. The Company's segments include the Power Solutions Group (PSG), the Advanced Solutions Group (ASG) and the Intelligent Sensing Group (ISG). The PSG segment offers a range of analog, discrete, module and integrated semiconductor products. The ASG segment designs and develops analog, mixed-signal, advanced logic, application specific standard products (ASSPs) and application specific integrated circuits (ASICs), radio frequency (RF) and integrated power solutions for a base of end-users in different end-markets. The ISG segment designs and develops complementary metal oxide semiconductor (CMOS) image sensors, image signal processors, single photon detectors, including Silicon photomultipliers (SiPM) and Single photon avalanche diode (SPAD) arrays, as well as actuator drivers for autofocus and image stabilization for a base of end-users in the different end-markets.</v>
    <v>30000</v>
    <v>Nasdaq Stock Market</v>
    <v>XNAS</v>
    <v>XNAS</v>
    <v>5005 E McDowell Rd, PHOENIX, AZ, 85008 US</v>
    <v>63.28</v>
    <v>Semiconductors &amp; Semiconductor Equipment</v>
    <v>Stock</v>
    <v>44917.737102742969</v>
    <v>788</v>
    <v>61.03</v>
    <v>26425406196</v>
    <v>ON SEMICONDUCTOR CORPORATION</v>
    <v>ON SEMICONDUCTOR CORPORATION</v>
    <v>63.28</v>
    <v>16.874199999999998</v>
    <v>65.040000000000006</v>
    <v>61.11</v>
    <v>432423600</v>
    <v>ON</v>
    <v>ON SEMICONDUCTOR CORPORATION (XNAS:ON)</v>
    <v>3562561</v>
    <v>5563310</v>
    <v>2000</v>
  </rv>
  <rv s="2">
    <v>789</v>
  </rv>
  <rv s="0">
    <v>https://www.bing.com/financeapi/forcetrigger?t=a1o1jc&amp;q=XNYS%3aAWK&amp;form=skydnc</v>
    <v>Learn more on Bing</v>
  </rv>
  <rv s="1">
    <v>en-US</v>
    <v>a1o1jc</v>
    <v>268435456</v>
    <v>1</v>
    <v>Powered by Refinitiv</v>
    <v>0</v>
    <v>AMERICAN WATER WORKS COMPANY, INC. (XNYS:AWK)</v>
    <v>2</v>
    <v>3</v>
    <v>Finance</v>
    <v>4</v>
    <v>189.65</v>
    <v>122.77</v>
    <v>0.51849999999999996</v>
    <v>-2.5499999999999998</v>
    <v>-1.6718E-2</v>
    <v>USD</v>
    <v>American Water Works Company, Inc. is a water and wastewater utility company. The Company's business segment Regulated Businesses involves the ownership of utilities that provide water and wastewater services to residential, commercial, industrial, public authority, fire service, and sales for resale customers. The Company also provides regulated-like services through its Military Services Group (MSG), which enters into long-term contracts with the United States government to provide water and wastewater services on various military installations. The Company also has five contracts with municipal customers to operate and manage water and wastewater facilities and provide other related services through its Contract Services Group (CSG).</v>
    <v>6400</v>
    <v>New York Stock Exchange</v>
    <v>XNYS</v>
    <v>XNYS</v>
    <v>1 Water Street, CAMDEN, NJ, 08102-1658 US</v>
    <v>152.4</v>
    <v>Water Utilities</v>
    <v>Stock</v>
    <v>44917.737053043747</v>
    <v>791</v>
    <v>149.97999999999999</v>
    <v>27270548442</v>
    <v>AMERICAN WATER WORKS COMPANY, INC.</v>
    <v>AMERICAN WATER WORKS COMPANY, INC.</v>
    <v>152.02000000000001</v>
    <v>21.0626</v>
    <v>152.53</v>
    <v>149.97999999999999</v>
    <v>181827900</v>
    <v>AWK</v>
    <v>AMERICAN WATER WORKS COMPANY, INC. (XNYS:AWK)</v>
    <v>184957</v>
    <v>781550</v>
    <v>1936</v>
  </rv>
  <rv s="2">
    <v>792</v>
  </rv>
  <rv s="0">
    <v>https://www.bing.com/financeapi/forcetrigger?t=a25pm7&amp;q=XNAS%3aWBA&amp;form=skydnc</v>
    <v>Learn more on Bing</v>
  </rv>
  <rv s="1">
    <v>en-US</v>
    <v>a25pm7</v>
    <v>268435456</v>
    <v>1</v>
    <v>Powered by Refinitiv</v>
    <v>0</v>
    <v>WALGREENS BOOTS ALLIANCE, INC. (XNAS:WBA)</v>
    <v>2</v>
    <v>3</v>
    <v>Finance</v>
    <v>4</v>
    <v>55</v>
    <v>30.39</v>
    <v>0.73499999999999999</v>
    <v>-0.73499999999999999</v>
    <v>-1.9040999999999999E-2</v>
    <v>USD</v>
    <v>Walgreens Boots Alliance, Inc. is an integrated healthcare, pharmacy and retailing company. The Company operates through three segments: U.S. Retail Pharmacy, International, and U.S. Healthcare. The Company's U.S. Retail Pharmacy segment includes the Walgreens business, which includes the operations of retail drug stores, health and wellness services, and specialty and home delivery pharmacy services, and its equity method investment in AmerisourceBergen. Its International segment consists of pharmacy-led health and beauty retail businesses outside the United States and a pharmaceutical wholesaling and distribution business in Germany. Its portfolio of consumer brands include Walgreens, Boots, Duane Reade, the No7 Beauty Company, Benavides in Mexico and Ahumada in Chile. Its U.S. Healthcare segment is a consumer-centric, technology-enabled healthcare business that engages consumers through a personalized, omni-channel experience across the care journey.</v>
    <v>200000</v>
    <v>Nasdaq Stock Market</v>
    <v>XNAS</v>
    <v>XNAS</v>
    <v>108 Wilmot Rd, DEERFIELD, IL, 60015 US</v>
    <v>38.43</v>
    <v>Food &amp; Drug Retailing</v>
    <v>Stock</v>
    <v>44917.737135450778</v>
    <v>794</v>
    <v>37.854999999999997</v>
    <v>32652284483</v>
    <v>WALGREENS BOOTS ALLIANCE, INC.</v>
    <v>WALGREENS BOOTS ALLIANCE, INC.</v>
    <v>38.43</v>
    <v>7.7187000000000001</v>
    <v>38.6</v>
    <v>37.865000000000002</v>
    <v>862334200</v>
    <v>WBA</v>
    <v>WALGREENS BOOTS ALLIANCE, INC. (XNAS:WBA)</v>
    <v>1875587</v>
    <v>5359679</v>
    <v>2014</v>
  </rv>
  <rv s="2">
    <v>795</v>
  </rv>
  <rv s="0">
    <v>https://www.bing.com/financeapi/forcetrigger?t=a25jnm&amp;q=XNAS%3aVRSK&amp;form=skydnc</v>
    <v>Learn more on Bing</v>
  </rv>
  <rv s="1">
    <v>en-US</v>
    <v>a25jnm</v>
    <v>268435456</v>
    <v>1</v>
    <v>Powered by Refinitiv</v>
    <v>0</v>
    <v>VERISK ANALYTICS, INC. (XNAS:VRSK)</v>
    <v>2</v>
    <v>3</v>
    <v>Finance</v>
    <v>4</v>
    <v>230.31</v>
    <v>156.05000000000001</v>
    <v>0.82630000000000003</v>
    <v>-3.56</v>
    <v>-2.0213000000000002E-2</v>
    <v>USD</v>
    <v>Verisk Analytics, Inc. is a data analytics provider that serves customers in insurance, energy and specialized markets, and financial services. The Company offers predictive analytics and decision support solutions to customers in rating, underwriting, claims, catastrophe and weather risk, natural resources intelligence, economic forecasting, commercial banking and finance, and many other fields. Its Insurance segment primarily serves its property and casualty (P&amp;C) insurance customers and focuses on the prediction of loss, the selection and pricing of risk, and compliance with their reporting requirements. Its Energy and Specialized Markets segment offers data analytics across the natural resources value chain, including the global energy, chemicals, metals and mining, and power and renewables sectors. Its Financial Services segment maintains the bank account consortia to provide benchmarking, decisioning algorithms, business intelligence, and customized analytic services.</v>
    <v>9367</v>
    <v>Nasdaq Stock Market</v>
    <v>XNAS</v>
    <v>XNAS</v>
    <v>545 Washington Blvd, JERSEY CITY, NJ, 07310-1607 US</v>
    <v>174.46</v>
    <v>Software &amp; IT Services</v>
    <v>Stock</v>
    <v>44917.737037060157</v>
    <v>797</v>
    <v>172.43</v>
    <v>27543040000</v>
    <v>VERISK ANALYTICS, INC.</v>
    <v>VERISK ANALYTICS, INC.</v>
    <v>174.33</v>
    <v>27.3477</v>
    <v>176.12</v>
    <v>172.56</v>
    <v>156388000</v>
    <v>VRSK</v>
    <v>VERISK ANALYTICS, INC. (XNAS:VRSK)</v>
    <v>153520</v>
    <v>1015241</v>
    <v>2008</v>
  </rv>
  <rv s="2">
    <v>798</v>
  </rv>
  <rv s="0">
    <v>https://www.bing.com/financeapi/forcetrigger?t=a1mptc&amp;q=XNYS%3aABC&amp;form=skydnc</v>
    <v>Learn more on Bing</v>
  </rv>
  <rv s="1">
    <v>en-US</v>
    <v>a1mptc</v>
    <v>268435456</v>
    <v>1</v>
    <v>Powered by Refinitiv</v>
    <v>0</v>
    <v>AMERISOURCEBERGEN CORPORATION (XNYS:ABC)</v>
    <v>2</v>
    <v>3</v>
    <v>Finance</v>
    <v>4</v>
    <v>174.63</v>
    <v>126.61</v>
    <v>0.54579999999999995</v>
    <v>-0.21</v>
    <v>-1.24E-3</v>
    <v>USD</v>
    <v>AmerisourceBergen Corporation is a global pharmaceutical sourcing and distribution services company. The Company operates through two segments: U.S. Healthcare Solutions and International Healthcare Solutions. The U.S. Healthcare Solutions segment distributes an offering of brand-name, specialty brand-name and generic pharmaceuticals, over-the-counter healthcare products, home healthcare supplies and equipment, and related services to a wide variety of healthcare providers, including acute care hospitals and health systems, independent and chain retail pharmacies, mail order pharmacies, medical clinics, long-term care and alternate site pharmacies, and other customers. The International Healthcare Solutions segment consists of businesses that focus on international pharmaceutical wholesale and related service operations and global commercialization services. This segment consists of Alliance Healthcare, World Courier, Innomar, Profarma, and Profarma Specialty.</v>
    <v>39000</v>
    <v>New York Stock Exchange</v>
    <v>XNYS</v>
    <v>XNYS</v>
    <v>1 West First Avenue, CONSHOHOCKEN, PA, 19428 US</v>
    <v>171.06</v>
    <v>Healthcare Equipment &amp; Supplies</v>
    <v>Stock</v>
    <v>44917.737084235938</v>
    <v>800</v>
    <v>169.03</v>
    <v>34234865154</v>
    <v>AMERISOURCEBERGEN CORPORATION</v>
    <v>AMERISOURCEBERGEN CORPORATION</v>
    <v>169.22</v>
    <v>21.0655</v>
    <v>169.32</v>
    <v>169.11</v>
    <v>202441400</v>
    <v>ABC</v>
    <v>AMERISOURCEBERGEN CORPORATION (XNYS:ABC)</v>
    <v>416104</v>
    <v>1530921</v>
    <v>2001</v>
  </rv>
  <rv s="2">
    <v>801</v>
  </rv>
  <rv s="0">
    <v>https://www.bing.com/financeapi/forcetrigger?t=a1n977&amp;q=XNYS%3aALB&amp;form=skydnc</v>
    <v>Learn more on Bing</v>
  </rv>
  <rv s="1">
    <v>en-US</v>
    <v>a1n977</v>
    <v>268435456</v>
    <v>1</v>
    <v>Powered by Refinitiv</v>
    <v>0</v>
    <v>ALBEMARLE CORPORATION (XNYS:ALB)</v>
    <v>2</v>
    <v>3</v>
    <v>Finance</v>
    <v>4</v>
    <v>334.54989999999998</v>
    <v>169.93</v>
    <v>1.4351</v>
    <v>-8.31</v>
    <v>-3.5722000000000004E-2</v>
    <v>USD</v>
    <v>Albemarle Corporation is a developer, manufacturer and marketer of specialty chemicals, which serves its customers across a diverse range of end markets, including energy storage, petroleum refining, consumer electronics, construction, automotive, lubricants, pharmaceuticals and crop protection. It operates through three segments. Lithium segment develops and manufactures a range of basic lithium compounds, including lithium carbonate, lithium hydroxide, lithium chloride, and value-added lithium specialties and reagents, including butyllithium and lithium aluminum hydride. Bromine segment’s business includes products used in fire safety solutions and other specialty chemicals applications. Its fire safety technology enables the use of plastics by enhancing the flame-resistant properties of these materials. Catalysts segment’s three product lines include Clean Fuels Technologies, fluidized catalytic cracking catalysts and additives, and performance catalyst solutions.</v>
    <v>6000</v>
    <v>New York Stock Exchange</v>
    <v>XNYS</v>
    <v>XNYS</v>
    <v>4250 Congress Street, Suite 900, CHARLOTTE, NC, 28209 US</v>
    <v>229.375</v>
    <v>Chemicals</v>
    <v>Stock</v>
    <v>44917.737064421097</v>
    <v>803</v>
    <v>222.76</v>
    <v>26279716096</v>
    <v>ALBEMARLE CORPORATION</v>
    <v>ALBEMARLE CORPORATION</v>
    <v>229.375</v>
    <v>17.639199999999999</v>
    <v>232.63</v>
    <v>224.32</v>
    <v>117152800</v>
    <v>ALB</v>
    <v>ALBEMARLE CORPORATION (XNYS:ALB)</v>
    <v>587076</v>
    <v>1437571</v>
    <v>1993</v>
  </rv>
  <rv s="2">
    <v>804</v>
  </rv>
  <rv s="0">
    <v>https://www.bing.com/financeapi/forcetrigger?t=a1sl52&amp;q=XNAS%3aFAST&amp;form=skydnc</v>
    <v>Learn more on Bing</v>
  </rv>
  <rv s="1">
    <v>en-US</v>
    <v>a1sl52</v>
    <v>268435456</v>
    <v>1</v>
    <v>Powered by Refinitiv</v>
    <v>0</v>
    <v>Fastenal Company (XNAS:FAST)</v>
    <v>2</v>
    <v>3</v>
    <v>Finance</v>
    <v>4</v>
    <v>64.746499999999997</v>
    <v>43.73</v>
    <v>1.1554</v>
    <v>-0.95</v>
    <v>-1.9816E-2</v>
    <v>USD</v>
    <v>Fastenal Company is engaged in the wholesale distribution of industrial and construction supplies. The Company is a distributor of threaded fasteners, bolts, nuts, screws, studs, and related washers, as well as miscellaneous supplies and hardware. Its customers are in the manufacturing and non-residential construction markets. The manufacturing market includes sales of products for both original equipment manufacturing (OEM), where its products are consumed in the final products of its customers, and manufacturing, repair, and operations (MRO), where its products are consumed to support the facilities and ongoing operations of its customers. The non-residential construction market includes general, electrical, plumbing, sheet metal and road contractors. Other users of its products include farmers, truckers, railroads, oil exploration companies, oil production and refinement companies, mining companies, federal, state, and local governmental entities, schools, and certain retail trades.</v>
    <v>19519</v>
    <v>Nasdaq Stock Market</v>
    <v>XNAS</v>
    <v>XNAS</v>
    <v>2001 Theurer Blvd, WINONA, MN, 55987 US</v>
    <v>47.72</v>
    <v>Machinery, Equipment &amp; Components</v>
    <v>Stock</v>
    <v>44917.737116978904</v>
    <v>806</v>
    <v>46.854999999999997</v>
    <v>26913987701</v>
    <v>Fastenal Company</v>
    <v>Fastenal Company</v>
    <v>47.6</v>
    <v>25.7818</v>
    <v>47.94</v>
    <v>46.99</v>
    <v>572759900</v>
    <v>FAST</v>
    <v>Fastenal Company (XNAS:FAST)</v>
    <v>809848</v>
    <v>3393860</v>
    <v>1968</v>
  </rv>
  <rv s="2">
    <v>807</v>
  </rv>
  <rv s="0">
    <v>https://www.bing.com/financeapi/forcetrigger?t=a1vtoc&amp;q=XNYS%3aIT&amp;form=skydnc</v>
    <v>Learn more on Bing</v>
  </rv>
  <rv s="1">
    <v>en-US</v>
    <v>a1vtoc</v>
    <v>268435456</v>
    <v>1</v>
    <v>Powered by Refinitiv</v>
    <v>0</v>
    <v>GARTNER, INC. (XNYS:IT)</v>
    <v>2</v>
    <v>3</v>
    <v>Finance</v>
    <v>4</v>
    <v>358.25</v>
    <v>221.39</v>
    <v>1.3571</v>
    <v>-7.97</v>
    <v>-2.3315000000000002E-2</v>
    <v>USD</v>
    <v>Gartner, Inc. is a research and advisory company. It is an advisor and objective resource for more than 15,000 enterprises in approximately 100 countries. The Company’s segments include Research, which delivers independent and objective advice to leaders across an enterprise through subscription services that include on-demand access to published research content, data, and benchmarks; Conferences, which are designed for information technology (IT) and business executives as well as decision makers looking to adapt and evolve their organizations through disruption and uncertainty, navigate risks and prioritize investments, and Consulting, which serves chief information officers and other senior executives who are driving technology-related strategic initiatives to optimize technology investments and drive business impact. Additionally, it provides solutions for a range of IT-related priorities, including IT cost optimization, digital transformation, and IT sourcing optimization.</v>
    <v>16600</v>
    <v>New York Stock Exchange</v>
    <v>XNYS</v>
    <v>XNYS</v>
    <v>PO Box 10212, 56 Top Gallant Rd, STAMFORD, CT, 06904-2212 US</v>
    <v>338.66500000000002</v>
    <v>Software &amp; IT Services</v>
    <v>Stock</v>
    <v>44917.7370371875</v>
    <v>809</v>
    <v>333.87</v>
    <v>26383869750</v>
    <v>GARTNER, INC.</v>
    <v>GARTNER, INC.</v>
    <v>337.95</v>
    <v>36.868000000000002</v>
    <v>341.84</v>
    <v>333.87</v>
    <v>79024380</v>
    <v>IT</v>
    <v>GARTNER, INC. (XNYS:IT)</v>
    <v>100943</v>
    <v>426571</v>
    <v>1990</v>
  </rv>
  <rv s="2">
    <v>810</v>
  </rv>
  <rv s="0">
    <v>https://www.bing.com/financeapi/forcetrigger?t=a229ec&amp;q=XNYS%3aRSG&amp;form=skydnc</v>
    <v>Learn more on Bing</v>
  </rv>
  <rv s="1">
    <v>en-US</v>
    <v>a229ec</v>
    <v>268435456</v>
    <v>1</v>
    <v>Powered by Refinitiv</v>
    <v>0</v>
    <v>REPUBLIC SERVICES, INC. (XNYS:RSG)</v>
    <v>2</v>
    <v>3</v>
    <v>Finance</v>
    <v>4</v>
    <v>149.16999999999999</v>
    <v>113.57340000000001</v>
    <v>0.68340000000000001</v>
    <v>-2.585</v>
    <v>-1.9660999999999998E-2</v>
    <v>USD</v>
    <v>Republic Services, Inc. is a provider of environmental services in the United States. Through its subsidiaries, transfer stations, recycling centers and landfills, it focuses on providing effective and reliable environmental services and solutions to make proper recycling and waste disposal for its customers. The Company operates through three segments Group 1, Group 2 and Environmental Solutions. Group 1 segment primarily consists of geographic areas located in the western United States. Group 2 segment primarily consists of geographic areas located in the southeastern and mid-western United States, and the eastern seaboard of the United States. Its Environmental Solutions segment provides environmental solutions for daily operations of industrial, petrochemical and refining facilities across the United States and Canada. The Company is engaged in 77 landfill gas-to-energy and other renewable energy projects and had post-closure responsibility for 124 closed landfills.</v>
    <v>35000</v>
    <v>New York Stock Exchange</v>
    <v>XNYS</v>
    <v>XNYS</v>
    <v>18500 N Allied Way, PHOENIX, AZ, 85054 US</v>
    <v>131.11000000000001</v>
    <v>Professional &amp; Commercial Services</v>
    <v>Stock</v>
    <v>44917.736858390628</v>
    <v>812</v>
    <v>128.89500000000001</v>
    <v>40730936005</v>
    <v>REPUBLIC SERVICES, INC.</v>
    <v>REPUBLIC SERVICES, INC.</v>
    <v>130.76</v>
    <v>28.700600000000001</v>
    <v>131.47999999999999</v>
    <v>128.89500000000001</v>
    <v>316000900</v>
    <v>RSG</v>
    <v>REPUBLIC SERVICES, INC. (XNYS:RSG)</v>
    <v>218398</v>
    <v>1163876</v>
    <v>1996</v>
  </rv>
  <rv s="2">
    <v>813</v>
  </rv>
  <rv s="0">
    <v>https://www.bing.com/financeapi/forcetrigger?t=a26fim&amp;q=XNYS%3aZBH&amp;form=skydnc</v>
    <v>Learn more on Bing</v>
  </rv>
  <rv s="1">
    <v>en-US</v>
    <v>a26fim</v>
    <v>268435456</v>
    <v>1</v>
    <v>Powered by Refinitiv</v>
    <v>0</v>
    <v>ZIMMER BIOMET HOLDINGS, INC. (XNYS:ZBH)</v>
    <v>2</v>
    <v>3</v>
    <v>Finance</v>
    <v>4</v>
    <v>135.05000000000001</v>
    <v>100.39</v>
    <v>1.0527</v>
    <v>-1.9</v>
    <v>-1.4951000000000001E-2</v>
    <v>USD</v>
    <v>Zimmer Biomet Holdings, Inc. is a musculoskeletal healthcare company. The Company is engaged in the design, manufacture and marketing of orthopedic reconstructive products; sports medicine, biologics, extremities and trauma products; spine, craniomaxillofacial and thoracic (CMFT) products; dental implants, and related surgical products. The Company's products and solutions help treat patients suffering from disorders of, or injuries to, bones, joints or supporting soft tissues. It operates through four segments: Americas Orthopedics, Europe, Middle East and Africa (EMEA), Asia Pacific, and Americas Spine and Global Dental. Its knee brands include Persona Knee, NexGen Knee Implants, Vanguard Knee and Oxford Partial Knee. Its hip brands include Taperloc Hip System, Avenir Complete Hip System, Arcos Modular Hip System and G7 Acetabular System. Its S.E.T. brands include JuggerKnot Soft Anchor System, Gel-One1 Cross-linked Hyaluronate, Comprehensive Shoulder and others.</v>
    <v>19500</v>
    <v>New York Stock Exchange</v>
    <v>XNYS</v>
    <v>XNYS</v>
    <v>345 E Main St, WARSAW, IN, 46580-2746 US</v>
    <v>126.48</v>
    <v>Healthcare Equipment &amp; Supplies</v>
    <v>Stock</v>
    <v>44917.737017939064</v>
    <v>815</v>
    <v>125.18</v>
    <v>26269323432</v>
    <v>ZIMMER BIOMET HOLDINGS, INC.</v>
    <v>ZIMMER BIOMET HOLDINGS, INC.</v>
    <v>125.44</v>
    <v>79.087400000000002</v>
    <v>127.08</v>
    <v>125.18</v>
    <v>209852400</v>
    <v>ZBH</v>
    <v>ZIMMER BIOMET HOLDINGS, INC. (XNYS:ZBH)</v>
    <v>310907</v>
    <v>1289698</v>
    <v>2001</v>
  </rv>
  <rv s="2">
    <v>816</v>
  </rv>
  <rv s="0">
    <v>https://www.bing.com/financeapi/forcetrigger?t=a25xgh&amp;q=XNAS%3aWTW&amp;form=skydnc</v>
    <v>Learn more on Bing</v>
  </rv>
  <rv s="1">
    <v>en-US</v>
    <v>a25xgh</v>
    <v>268435456</v>
    <v>1</v>
    <v>Powered by Refinitiv</v>
    <v>0</v>
    <v>Willis Towers Watson Public Limited Company (XNAS:WTW)</v>
    <v>2</v>
    <v>3</v>
    <v>Finance</v>
    <v>4</v>
    <v>252.99</v>
    <v>187.89</v>
    <v>0.76929999999999998</v>
    <v>-2.66</v>
    <v>-1.0920000000000001E-2</v>
    <v>USD</v>
    <v>Willis Towers Watson Public Limited Company is a global advisory, broking and solutions company that provides data-driven, insight-led solutions in the areas of people, risk, and capital. The Company operates through two segments: Health, Wealth &amp; Career (HWC), and Risk &amp; Broking (R&amp;B). The HWC segment includes businesses aligned under the Human Capital and Benefits segment, the Benefits Delivery and Administration segment, and the Investment business under the Investment, Risk and Reinsurance segment. The R&amp;B segment includes businesses aligned under the Corporate Risk and Broking segment, as well as the Insurance Consulting and Technology business under the Investment, Risk and Reinsurance segment. The Company's risk management services include strategic risk consulting, a range of due diligence services, the provision of practical on-site risk control services, advisory services, technology solutions, and analytical and modeling capabilities, such as hazard modeling.</v>
    <v>44000</v>
    <v>Nasdaq Stock Market</v>
    <v>XNAS</v>
    <v>XNAS</v>
    <v>51 Lime Street, LONDON, UNITED KINGDOM-NA, EC3M 7DQ GB</v>
    <v>243.05</v>
    <v>Insurance</v>
    <v>Stock</v>
    <v>44917.737015983592</v>
    <v>818</v>
    <v>239.47</v>
    <v>26078767344</v>
    <v>Willis Towers Watson Public Limited Company</v>
    <v>Willis Towers Watson Public Limited Company</v>
    <v>242.16</v>
    <v>28.725999999999999</v>
    <v>243.6</v>
    <v>240.94</v>
    <v>108237600</v>
    <v>WTW</v>
    <v>Willis Towers Watson Public Limited Company (XNAS:WTW)</v>
    <v>82044</v>
    <v>621234</v>
    <v>2009</v>
  </rv>
  <rv s="2">
    <v>819</v>
  </rv>
  <rv s="0">
    <v>https://www.bing.com/financeapi/forcetrigger?t=a1qyk2&amp;q=XNYS%3aDFS&amp;form=skydnc</v>
    <v>Learn more on Bing</v>
  </rv>
  <rv s="1">
    <v>en-US</v>
    <v>a1qyk2</v>
    <v>268435456</v>
    <v>1</v>
    <v>Powered by Refinitiv</v>
    <v>0</v>
    <v>DISCOVER FINANCIAL SERVICES (XNYS:DFS)</v>
    <v>2</v>
    <v>3</v>
    <v>Finance</v>
    <v>4</v>
    <v>130.81</v>
    <v>87.644000000000005</v>
    <v>1.4079999999999999</v>
    <v>-2.2799999999999998</v>
    <v>-2.3313E-2</v>
    <v>USD</v>
    <v>Discover Financial Services is a digital banking and payment services company. The Company is a bank holding company, as well as a financial holding company. Its segments include Digital Banking and Payment Services. Its Digital Banking segment includes consumer banking and lending products, specifically Discover-branded credit cards issued to individuals on the Discover Network and other consumer banking products and services, including private student loans, personal loans, home loans and deposit products. Its Payment Services segment includes the PULSE network (PULSE), Diners Club International (Diners Club) and its Network Partners business, which provides payment transaction processing and settlement services on the Discover Global Network. Its private student loans are primarily available to students attending eligible non-profit undergraduate and graduate schools. It also offers parent loans and certain post-graduate loans, including consolidation, bar study and residency loans.</v>
    <v>16700</v>
    <v>New York Stock Exchange</v>
    <v>XNYS</v>
    <v>XNYS</v>
    <v>2500 Lake Cook Rd, RIVERWOODS, IL, 60015 US</v>
    <v>96.56</v>
    <v>Banking Services</v>
    <v>Stock</v>
    <v>44917.737028344534</v>
    <v>821</v>
    <v>95.4</v>
    <v>26098528416</v>
    <v>DISCOVER FINANCIAL SERVICES</v>
    <v>DISCOVER FINANCIAL SERVICES</v>
    <v>96.07</v>
    <v>6.3108000000000004</v>
    <v>97.8</v>
    <v>95.52</v>
    <v>273225800</v>
    <v>DFS</v>
    <v>DISCOVER FINANCIAL SERVICES (XNYS:DFS)</v>
    <v>661009</v>
    <v>2074684</v>
    <v>1960</v>
  </rv>
  <rv s="2">
    <v>822</v>
  </rv>
  <rv s="0">
    <v>https://www.bing.com/financeapi/forcetrigger?t=a1vcgh&amp;q=XNYS%3aIFF&amp;form=skydnc</v>
    <v>Learn more on Bing</v>
  </rv>
  <rv s="1">
    <v>en-US</v>
    <v>a1vcgh</v>
    <v>268435456</v>
    <v>1</v>
    <v>Powered by Refinitiv</v>
    <v>0</v>
    <v>INTERNATIONAL FLAVORS &amp; FRAGRANCES INC. (XNYS:IFF)</v>
    <v>2</v>
    <v>3</v>
    <v>Finance</v>
    <v>4</v>
    <v>151.86000000000001</v>
    <v>83.14</v>
    <v>1.0593999999999999</v>
    <v>-2.33</v>
    <v>-2.2395000000000002E-2</v>
    <v>USD</v>
    <v>International Flavors &amp; Fragrances Inc. is a creator and manufacturer of food, beverage, health and biosciences, scent and pharma solutions and complementary adjacent products. The Company’s segments include Nourish, Health &amp; Biosciences, Scent and Pharma Solutions. The Nourish segment comprises ingredients, flavors and food designs, with a diversified portfolio across natural and plant-based specialty food ingredients, flavor compounds, and savory solutions and inclusions. The Health &amp; Biosciences segment comprises health, cultures and food enzymes, home and personal care, animal nutrition, grain processing, and microbial control. The Scent segment comprises fragrance compounds, including fine fragrances and consumer fragrances; fragrance ingredients, and cosmetic active ingredients. The Pharma Solutions segment produces a portfolio that includes cellulosic and seaweed-based pharma excipients, used to improve the functionality and delivery of active pharmaceutical ingredients.</v>
    <v>24000</v>
    <v>New York Stock Exchange</v>
    <v>XNYS</v>
    <v>XNYS</v>
    <v>521 W 57TH ST, NEW YORK, NY, 10019 US</v>
    <v>103.5</v>
    <v>Food &amp; Tobacco</v>
    <v>Stock</v>
    <v>44917.737039582811</v>
    <v>824</v>
    <v>101.45</v>
    <v>25932205362</v>
    <v>INTERNATIONAL FLAVORS &amp; FRAGRANCES INC.</v>
    <v>INTERNATIONAL FLAVORS &amp; FRAGRANCES INC.</v>
    <v>103.5</v>
    <v>38.623600000000003</v>
    <v>104.04</v>
    <v>101.71</v>
    <v>254962200</v>
    <v>IFF</v>
    <v>INTERNATIONAL FLAVORS &amp; FRAGRANCES INC. (XNYS:IFF)</v>
    <v>371927</v>
    <v>1872572</v>
    <v>1909</v>
  </rv>
  <rv s="2">
    <v>825</v>
  </rv>
  <rv s="0">
    <v>https://www.bing.com/financeapi/forcetrigger?t=a1u4zr&amp;q=XNYS%3aGPN&amp;form=skydnc</v>
    <v>Learn more on Bing</v>
  </rv>
  <rv s="1">
    <v>en-US</v>
    <v>a1u4zr</v>
    <v>268435456</v>
    <v>1</v>
    <v>Powered by Refinitiv</v>
    <v>0</v>
    <v>GLOBAL PAYMENTS INC. (XNYS:GPN)</v>
    <v>2</v>
    <v>3</v>
    <v>Finance</v>
    <v>4</v>
    <v>153.76</v>
    <v>92.27</v>
    <v>1.0065</v>
    <v>-3.03</v>
    <v>-3.1632E-2</v>
    <v>USD</v>
    <v>Global Payments Inc. is a payments technology company that delivers software and services. The Company’s segments include Merchant Solutions, Issuer Solutions and Business, and Consumer Solutions. The Merchant Solutions segment provides payments technology and software solutions to customers globally. This segment offerings include authorization, settlement and funding services, customer support, chargeback resolution, terminal rental, sales and deployment, payment security services, consolidated billing and reporting. The Issuer Solutions segment provides solutions that enable financial institutions and other financial service providers to manage their card portfolios. The Business and Consumer Solutions segment provides general purpose reloadable (GPR) prepaid debit and payroll cards, demand deposit accounts and other financial service solutions to the underbanked and other consumers and businesses in the United States and parts of Europe through its Netspend and other brands.</v>
    <v>25000</v>
    <v>New York Stock Exchange</v>
    <v>XNYS</v>
    <v>XNYS</v>
    <v>3550 Lenox Road, ATLANTA, GA, 30326 US</v>
    <v>95.16</v>
    <v>Professional &amp; Commercial Services</v>
    <v>Stock</v>
    <v>44917.737089247654</v>
    <v>827</v>
    <v>92.7</v>
    <v>25082415312</v>
    <v>GLOBAL PAYMENTS INC.</v>
    <v>GLOBAL PAYMENTS INC.</v>
    <v>94.64</v>
    <v>427.40499999999997</v>
    <v>95.79</v>
    <v>92.76</v>
    <v>270401200</v>
    <v>GPN</v>
    <v>GLOBAL PAYMENTS INC. (XNYS:GPN)</v>
    <v>654911</v>
    <v>2501076</v>
    <v>2000</v>
  </rv>
  <rv s="2">
    <v>828</v>
  </rv>
  <rv s="0">
    <v>https://www.bing.com/financeapi/forcetrigger?t=a1z3h7&amp;q=XNAS%3aODFL&amp;form=skydnc</v>
    <v>Learn more on Bing</v>
  </rv>
  <rv s="1">
    <v>en-US</v>
    <v>a1z3h7</v>
    <v>268435456</v>
    <v>1</v>
    <v>Powered by Refinitiv</v>
    <v>0</v>
    <v>OLD DOMINION FREIGHT LINE, INC. (XNAS:ODFL)</v>
    <v>2</v>
    <v>3</v>
    <v>Finance</v>
    <v>4</v>
    <v>362.92</v>
    <v>231.31</v>
    <v>1.069</v>
    <v>-9.1</v>
    <v>-3.1673E-2</v>
    <v>USD</v>
    <v>Old Dominion Freight Line, Inc. is a North American less-than-truckload (LTL) motor carriers. The Company provides regional, inter-regional and national LTL services through a single integrated, union-free organization. Its service offerings include expedited transportation, which is provided through a network of service centers located throughout the continental United States. It offers a range of value-added services including container drayage, truckload brokerage, and supply chain consulting. It operates approximately 251 service center locations, of which the Company owns 227 and leases 24. Its service centers are responsible for the pickup and delivery of freight within their local service area. Its system offers its customers access to information such as freight tracking, shipping documents, rate quotes, rate databases, and account activity. These centralized systems and its customer service department provide its customers with a single point of contact to access information.</v>
    <v>23663</v>
    <v>Nasdaq Stock Market</v>
    <v>XNAS</v>
    <v>XNAS</v>
    <v>500 Old Dominion Way, THOMASVILLE, NC, 27360 US</v>
    <v>284.89</v>
    <v>Freight &amp; Logistics Services</v>
    <v>Stock</v>
    <v>44917.737113553128</v>
    <v>830</v>
    <v>278.20999999999998</v>
    <v>30737085935</v>
    <v>OLD DOMINION FREIGHT LINE, INC.</v>
    <v>OLD DOMINION FREIGHT LINE, INC.</v>
    <v>284</v>
    <v>24.6021</v>
    <v>287.31</v>
    <v>278.20999999999998</v>
    <v>110481600</v>
    <v>ODFL</v>
    <v>OLD DOMINION FREIGHT LINE, INC. (XNAS:ODFL)</v>
    <v>228277</v>
    <v>834449</v>
    <v>1999</v>
  </rv>
  <rv s="2">
    <v>831</v>
  </rv>
  <rv s="0">
    <v>https://www.bing.com/financeapi/forcetrigger?t=a1q8r7&amp;q=XNAS%3aCPRT&amp;form=skydnc</v>
    <v>Learn more on Bing</v>
  </rv>
  <rv s="1">
    <v>en-US</v>
    <v>a1q8r7</v>
    <v>268435456</v>
    <v>1</v>
    <v>Powered by Refinitiv</v>
    <v>0</v>
    <v>COPART, INC. (XNAS:CPRT)</v>
    <v>2</v>
    <v>3</v>
    <v>Finance</v>
    <v>4</v>
    <v>76.284999999999997</v>
    <v>51.104999999999997</v>
    <v>1.177</v>
    <v>-1.6</v>
    <v>-2.6207999999999999E-2</v>
    <v>USD</v>
    <v>Copart, Inc. (Copart) is a provider of online auctions and vehicle remarketing services. The Company provides vehicle sellers with a full range of services to process and sell vehicles over the Internet through the Company’s Virtual Bidding Third Generation (VB3) Internet auction-style sales technology. The Company sells vehicles principally to licensed vehicle dismantlers, rebuilders, repair licensees, used vehicle dealers, exporters, and directly to the general public. The Company operates through two segments: United States and International. Its service offerings include Copart Access, Copart ProQuote, IntelliSeller and Estimating Services. Through Copart Access, it enables Internet-based service for vehicle sellers to assign vehicles for sale, check sales calendars, view vehicle images and history, Its vehicle sellers consist primarily of insurance companies, banks, finance companies, charities, fleet operators, dealers, vehicle rental companies, and individuals.</v>
    <v>9500</v>
    <v>Nasdaq Stock Market</v>
    <v>XNAS</v>
    <v>XNAS</v>
    <v>14185 Dallas Pkwy Ste 300, DALLAS, TX, 75254 US</v>
    <v>60.765000000000001</v>
    <v>Specialty Retailers</v>
    <v>Stock</v>
    <v>44917.737026435156</v>
    <v>833</v>
    <v>59.43</v>
    <v>28316035000</v>
    <v>COPART, INC.</v>
    <v>COPART, INC.</v>
    <v>60.48</v>
    <v>27.349900000000002</v>
    <v>61.05</v>
    <v>59.45</v>
    <v>476300000</v>
    <v>CPRT</v>
    <v>COPART, INC. (XNAS:CPRT)</v>
    <v>466008</v>
    <v>2226940</v>
    <v>2012</v>
  </rv>
  <rv s="2">
    <v>834</v>
  </rv>
  <rv s="0">
    <v>http://zh.wikipedia.org/wiki/太平洋瓦電公司</v>
    <v>Wikipedia</v>
  </rv>
  <rv s="3">
    <v>3</v>
    <v>836</v>
  </rv>
  <rv s="4">
    <v>9</v>
    <v>https://www.bing.com/th?id=AMMS_d7c2863336a8698ebd1054cdf3b7bcff&amp;qlt=95</v>
    <v>837</v>
    <v>0</v>
    <v>https://www.bing.com/images/search?form=xlimg&amp;q=pacific+gas+and+electric+company</v>
    <v>Image of PG&amp;E CORPORATION</v>
  </rv>
  <rv s="0">
    <v>https://www.bing.com/financeapi/forcetrigger?t=a1zkar&amp;q=XNYS%3aPCG&amp;form=skydnc</v>
    <v>Learn more on Bing</v>
  </rv>
  <rv s="5">
    <v>en-US</v>
    <v>a1zkar</v>
    <v>268435456</v>
    <v>1</v>
    <v>Powered by Refinitiv</v>
    <v>5</v>
    <v>PG&amp;E CORPORATION (XNYS:PCG)</v>
    <v>7</v>
    <v>8</v>
    <v>Finance</v>
    <v>4</v>
    <v>16.43</v>
    <v>9.64</v>
    <v>1.1191</v>
    <v>-0.24</v>
    <v>-1.5047E-2</v>
    <v>USD</v>
    <v>PG&amp;E Corporation is a holding company. The Company's primary operating subsidiary is Pacific Gas and Electric Company (the Utility), which operates in northern and central California. The Utility is engaged in the sale and delivery of electricity and natural gas to customers. The Utility generates electricity and provides electricity transmission and distribution services throughout its service territory in northern and central California to residential, commercial, industrial, and agricultural customers. The Utility provides bundled services (electricity, transmission and distribution services) to various customers in its service territory. The Utility owns approximately 18,000 circuit miles of interconnected transmission lines operating at voltages ranging from 60 kilovolt (kV) to 500 kV. It also operates 33 electric transmission substations with a capacity of approximately 70,000 megavolt ampere (MVA).</v>
    <v>26000</v>
    <v>New York Stock Exchange</v>
    <v>XNYS</v>
    <v>XNYS</v>
    <v>77 Beale St, PO Box 770000, SAN FRANCISCO, CA, 94105-1814 US</v>
    <v>15.975</v>
    <v>838</v>
    <v>Electrical Utilities &amp; IPPs</v>
    <v>Stock</v>
    <v>44917.737105555469</v>
    <v>839</v>
    <v>15.7</v>
    <v>38732125240</v>
    <v>PG&amp;E CORPORATION</v>
    <v>PG&amp;E CORPORATION</v>
    <v>15.93</v>
    <v>18.976099999999999</v>
    <v>15.95</v>
    <v>15.71</v>
    <v>2465444000</v>
    <v>PCG</v>
    <v>PG&amp;E CORPORATION (XNYS:PCG)</v>
    <v>3376473</v>
    <v>16333416</v>
    <v>1995</v>
  </rv>
  <rv s="2">
    <v>840</v>
  </rv>
  <rv s="0">
    <v>https://www.bing.com/financeapi/forcetrigger?t=a1udz2&amp;q=XNYS%3aGWW&amp;form=skydnc</v>
    <v>Learn more on Bing</v>
  </rv>
  <rv s="1">
    <v>en-US</v>
    <v>a1udz2</v>
    <v>268435456</v>
    <v>1</v>
    <v>Powered by Refinitiv</v>
    <v>0</v>
    <v>W.W. GRAINGER, INC. (XNYS:GWW)</v>
    <v>2</v>
    <v>3</v>
    <v>Finance</v>
    <v>4</v>
    <v>612.05999999999995</v>
    <v>440.48</v>
    <v>1.2262</v>
    <v>-11.03</v>
    <v>-1.9438999999999998E-2</v>
    <v>USD</v>
    <v>W.W. Grainger, Inc. is a business-to-business distributor of maintenance, repair, and operating (MRO) products and services with operations primarily in North America, Japan, and the United Kingdom. The Company operates through two segments: High-Touch Solutions N.A. and Endless Assortment. The Company's High-Touch Solutions N.A. segment provides value-added MRO solutions. This segment includes the Company's businesses in the United States (U.S.), Canada, Mexico, and Puerto Rico. The Company’s Endless Assortment segment provides a streamlined and transparent online platform with one-stop shopping for products. The Endless Assortment segment includes the Company’s Zoro Tools, Inc. (Zoro) and MonotaRO Co., Ltd. (MonotaRO) online channels which operate predominately in North America, Japan, and the United Kingdom. The Company's product offering includes safety and security, material handling and storage, pumps and plumbing equipment, cleaning, and maintenance, metalworking and hand tools.</v>
    <v>22700</v>
    <v>New York Stock Exchange</v>
    <v>XNYS</v>
    <v>XNYS</v>
    <v>5500 West Howard St, SKOKIE, IL, 60077 US</v>
    <v>563.70000000000005</v>
    <v>Machinery, Equipment &amp; Components</v>
    <v>Stock</v>
    <v>44917.736533390627</v>
    <v>842</v>
    <v>556.15</v>
    <v>28113974971</v>
    <v>W.W. GRAINGER, INC.</v>
    <v>W.W. GRAINGER, INC.</v>
    <v>563.70000000000005</v>
    <v>20.1401</v>
    <v>567.41999999999996</v>
    <v>556.39</v>
    <v>50529260</v>
    <v>GWW</v>
    <v>W.W. GRAINGER, INC. (XNYS:GWW)</v>
    <v>70529</v>
    <v>297906</v>
    <v>1928</v>
  </rv>
  <rv s="2">
    <v>843</v>
  </rv>
  <rv s="0">
    <v>https://www.bing.com/financeapi/forcetrigger?t=awagjc&amp;q=XNYS%3aAPTV&amp;form=skydnc</v>
    <v>Learn more on Bing</v>
  </rv>
  <rv s="1">
    <v>en-US</v>
    <v>awagjc</v>
    <v>268435456</v>
    <v>1</v>
    <v>Powered by Refinitiv</v>
    <v>0</v>
    <v>APTIV PLC (XNYS:APTV)</v>
    <v>2</v>
    <v>3</v>
    <v>Finance</v>
    <v>4</v>
    <v>175.91</v>
    <v>77.959999999999994</v>
    <v>2.0228000000000002</v>
    <v>-4.2699999999999996</v>
    <v>-4.5358000000000002E-2</v>
    <v>USD</v>
    <v>Aptiv PLC is a technology and mobility architecture company. The Company is primarily serving the automotive sector. The Company’s segments include Advanced Safety and User Experience and Signal and Power Solutions. The Advanced Safety and User Experience segment is focused on providing the necessary software and advanced computing platforms. The Signal and Power Solutions segment is focused on providing the requisite networking architecture required to support the integrated systems in vehicles. It delivers mobility solutions enabling its customers’ transition to electrified, software-defined vehicles. The Company designs and manufactures vehicle components and provides electrical, electronic and active safety technology solutions to the global automotive and commercial vehicle markets, creating the software and hardware foundation for vehicle features and functionality. It operates over 127 manufacturing facilities and over 12 technical centers utilizing a regional service model.</v>
    <v>155000</v>
    <v>New York Stock Exchange</v>
    <v>XNYS</v>
    <v>XNYS</v>
    <v>5Hq, 5 Hanover Quay, DUBLIN, DUBLIN, D02 VY79 IE</v>
    <v>92.21</v>
    <v>Automobiles &amp; Auto Parts</v>
    <v>Stock</v>
    <v>44917.737062233595</v>
    <v>845</v>
    <v>89.78</v>
    <v>24350240552</v>
    <v>APTIV PLC</v>
    <v>APTIV PLC</v>
    <v>91.88</v>
    <v>82.199700000000007</v>
    <v>94.14</v>
    <v>89.87</v>
    <v>270949600</v>
    <v>APTV</v>
    <v>APTIV PLC (XNYS:APTV)</v>
    <v>687888</v>
    <v>1895205</v>
    <v>2011</v>
  </rv>
  <rv s="2">
    <v>846</v>
  </rv>
  <rv s="0">
    <v>http://it.wikipedia.org/wiki/T._Rowe_Price</v>
    <v>Wikipedia</v>
  </rv>
  <rv s="3">
    <v>3</v>
    <v>848</v>
  </rv>
  <rv s="4">
    <v>9</v>
    <v>https://www.bing.com/th?id=AMMS_4c600be848f66590834841f27e6f786d&amp;qlt=95</v>
    <v>849</v>
    <v>0</v>
    <v>https://www.bing.com/images/search?form=xlimg&amp;q=t.+rowe+price</v>
    <v>Image of T. ROWE PRICE GROUP, INC.</v>
  </rv>
  <rv s="0">
    <v>https://www.bing.com/financeapi/forcetrigger?t=a24i3m&amp;q=XNAS%3aTROW&amp;form=skydnc</v>
    <v>Learn more on Bing</v>
  </rv>
  <rv s="5">
    <v>en-US</v>
    <v>a24i3m</v>
    <v>268435456</v>
    <v>1</v>
    <v>Powered by Refinitiv</v>
    <v>5</v>
    <v>T. ROWE PRICE GROUP, INC. (XNAS:TROW)</v>
    <v>7</v>
    <v>8</v>
    <v>Finance</v>
    <v>4</v>
    <v>200.9</v>
    <v>93.53</v>
    <v>1.2939000000000001</v>
    <v>-5.1150000000000002</v>
    <v>-4.5245E-2</v>
    <v>USD</v>
    <v>T. Rowe Price Group, Inc. is a financial service holding company, which provides global investment management services through its subsidiaries to investors worldwide. It provides a range of United States mutual funds, sub advised funds, separately managed accounts, collective investment trusts and other products, which include open-ended investment products offered to investors outside the United States and products offered through variable annuity life insurance plans in the United States. It also provides investment advisory clients with related administrative services, including distribution, mutual fund transfer agent, accounting and shareholder services; participant recordkeeping and transfer agent services for defined contribution retirement plans; brokerage; trust services; and non-discretionary advisory services through model delivery. It operates in Americas; Europe, Middle East and Africa; and Asia Pacific. It serves clients in approximately 50 countries across the world.</v>
    <v>7529</v>
    <v>Nasdaq Stock Market</v>
    <v>XNAS</v>
    <v>XNAS</v>
    <v>P.O. Box 89000, 100 East Pratt Street, BALTIMORE, MD, 21289-0320 US</v>
    <v>111.66500000000001</v>
    <v>850</v>
    <v>Investment Banking &amp; Investment Services</v>
    <v>Stock</v>
    <v>44917.737094178126</v>
    <v>851</v>
    <v>107.935</v>
    <v>24119673188</v>
    <v>T. ROWE PRICE GROUP, INC.</v>
    <v>T. ROWE PRICE GROUP, INC.</v>
    <v>111</v>
    <v>12.979900000000001</v>
    <v>113.05</v>
    <v>107.935</v>
    <v>223464800</v>
    <v>TROW</v>
    <v>T. ROWE PRICE GROUP, INC. (XNAS:TROW)</v>
    <v>545735</v>
    <v>1850380</v>
    <v>2000</v>
  </rv>
  <rv s="2">
    <v>852</v>
  </rv>
  <rv s="0">
    <v>https://www.bing.com/financeapi/forcetrigger?t=a1o76h&amp;q=XNYS%3aBAX&amp;form=skydnc</v>
    <v>Learn more on Bing</v>
  </rv>
  <rv s="1">
    <v>en-US</v>
    <v>a1o76h</v>
    <v>268435456</v>
    <v>1</v>
    <v>Powered by Refinitiv</v>
    <v>0</v>
    <v>BAXTER INTERNATIONAL INC. (XNYS:BAX)</v>
    <v>2</v>
    <v>3</v>
    <v>Finance</v>
    <v>4</v>
    <v>89.7</v>
    <v>49</v>
    <v>0.61499999999999999</v>
    <v>-0.95</v>
    <v>-1.8874999999999999E-2</v>
    <v>USD</v>
    <v>Baxter International Inc. through its subsidiaries, provides a portfolio of essential healthcare products. The Company’s segments include Americas (North and South America), EMEA (Europe, Middle East and Africa) and APAC (Asia-Pacific), and Hillrom. The Americas, EMEA and APAC segments provide a portfolio of essential healthcare products, including acute and chronic dialysis therapies; sterile IV solutions; infusion systems and devices; parenteral nutrition therapies; inhaled anesthetics; generic injectable pharmaceuticals; and surgical hemostat and sealant products. The Hillrom segment provides digital and connected care solutions and collaboration tools, including smart bed systems, patient monitoring and diagnostic technologies, respiratory health devices and advanced equipment for the surgical space. The Company’s products are used by hospitals, kidney dialysis centers, nursing homes, rehabilitation centers, doctors’ offices and by patients at home under physician supervision.</v>
    <v>60000</v>
    <v>New York Stock Exchange</v>
    <v>XNYS</v>
    <v>XNYS</v>
    <v>DF2-1W, ONE BAXTER PKWY, DEERFIELD, IL, 60015 US</v>
    <v>50.39</v>
    <v>Healthcare Equipment &amp; Supplies</v>
    <v>Stock</v>
    <v>44917.737068981252</v>
    <v>854</v>
    <v>49.37</v>
    <v>24893485104</v>
    <v>BAXTER INTERNATIONAL INC.</v>
    <v>BAXTER INTERNATIONAL INC.</v>
    <v>50.14</v>
    <v>28.8703</v>
    <v>50.33</v>
    <v>49.38</v>
    <v>504120800</v>
    <v>BAX</v>
    <v>BAXTER INTERNATIONAL INC. (XNYS:BAX)</v>
    <v>848949</v>
    <v>5331067</v>
    <v>1931</v>
  </rv>
  <rv s="2">
    <v>855</v>
  </rv>
  <rv s="0">
    <v>https://www.bing.com/financeapi/forcetrigger?t=a1u4fr&amp;q=XNYS%3aGPC&amp;form=skydnc</v>
    <v>Learn more on Bing</v>
  </rv>
  <rv s="1">
    <v>en-US</v>
    <v>a1u4fr</v>
    <v>268435456</v>
    <v>1</v>
    <v>Powered by Refinitiv</v>
    <v>0</v>
    <v>GENUINE PARTS COMPANY (XNYS:GPC)</v>
    <v>2</v>
    <v>3</v>
    <v>Finance</v>
    <v>4</v>
    <v>187.72499999999999</v>
    <v>115.63</v>
    <v>0.98799999999999999</v>
    <v>-3.56</v>
    <v>-2.0004000000000001E-2</v>
    <v>USD</v>
    <v>Genuine Parts Company is a service company engaged in the distribution of automotive and industrial replacement parts and materials. Its segments include Automotive Parts Group and Industrial Parts Group. The Automotive Parts Group is an automotive parts network, distributing automotive parts, accessories and service items in North America, Europe, and Australasia. It offers complete inventory, cataloging, marketing, training, and other programs to the automotive aftermarket. In North America, the Automotive Parts Group sells parts primarily under the National Automotive Parts Association (NAPA) brand name through distribution centers and automotive parts stores (auto parts stores or NAPA AUTO PARTS stores). The Industrial Parts Group operates in both North America and Australasia. It provides customers with supply chain efficiencies through the Company’s on-site solutions offering. This service provides inventory management, asset repair and tracking, and vendor-managed inventory.</v>
    <v>52000</v>
    <v>New York Stock Exchange</v>
    <v>XNYS</v>
    <v>XNYS</v>
    <v>2999 Wildwood Parkway, ATLANTA, GA, 30339 US</v>
    <v>176.89</v>
    <v>Automobiles &amp; Auto Parts</v>
    <v>Stock</v>
    <v>44917.736983818751</v>
    <v>857</v>
    <v>174.26009999999999</v>
    <v>24583772800</v>
    <v>GENUINE PARTS COMPANY</v>
    <v>GENUINE PARTS COMPANY</v>
    <v>176.02</v>
    <v>21.371700000000001</v>
    <v>177.96</v>
    <v>174.4</v>
    <v>140962000</v>
    <v>GPC</v>
    <v>GENUINE PARTS COMPANY (XNYS:GPC)</v>
    <v>166130</v>
    <v>908302</v>
    <v>1928</v>
  </rv>
  <rv s="2">
    <v>858</v>
  </rv>
  <rv s="0">
    <v>https://www.bing.com/financeapi/forcetrigger?t=a24zec&amp;q=XNYS%3aURI&amp;form=skydnc</v>
    <v>Learn more on Bing</v>
  </rv>
  <rv s="1">
    <v>en-US</v>
    <v>a24zec</v>
    <v>268435456</v>
    <v>1</v>
    <v>Powered by Refinitiv</v>
    <v>0</v>
    <v>UNITED RENTALS, INC. (XNYS:URI)</v>
    <v>2</v>
    <v>3</v>
    <v>Finance</v>
    <v>4</v>
    <v>373.90750000000003</v>
    <v>230.54</v>
    <v>1.8197000000000001</v>
    <v>-13.1</v>
    <v>-3.6406000000000001E-2</v>
    <v>USD</v>
    <v>United Rentals, Inc. is an equipment rental company. The Company operates through two segments: general rentals and specialty. The general rentals segment includes the rental of construction, aerial and industrial equipment, general tools and light equipment, and related services and activities. The general rentals segment’s customers include construction and industrial companies, manufacturers, utilities, municipalities and homeowners. The specialty segment includes the rental of specialty construction products, such as trench safety equipment; power and heating, ventilation, and air conditioning (HVAC) equipment; fluid solutions equipment, and mobile storage equipment and modular office space. The specialty segment’s customers include construction companies engaged in infrastructure projects, municipalities and industrial companies. It operates throughout the United States, Canada, Europe, Australia and New Zealand. Its subsidiary is United Rentals (North America), Inc.</v>
    <v>20400</v>
    <v>New York Stock Exchange</v>
    <v>XNYS</v>
    <v>XNYS</v>
    <v>7TH FLOOR, 100 FIRST STAMFORD PLACE, STAMFORD, CT, 06902 US</v>
    <v>354.79</v>
    <v>Professional &amp; Commercial Services</v>
    <v>Stock</v>
    <v>44917.737050613279</v>
    <v>860</v>
    <v>346.73</v>
    <v>24031329270</v>
    <v>UNITED RENTALS, INC.</v>
    <v>UNITED RENTALS, INC.</v>
    <v>354.74</v>
    <v>13.2402</v>
    <v>359.83</v>
    <v>346.73</v>
    <v>69308480</v>
    <v>URI</v>
    <v>UNITED RENTALS, INC. (XNYS:URI)</v>
    <v>231580</v>
    <v>662391</v>
    <v>1998</v>
  </rv>
  <rv s="2">
    <v>861</v>
  </rv>
  <rv s="0">
    <v>https://www.bing.com/financeapi/forcetrigger?t=a1y1w7&amp;q=XNYS%3aMTB&amp;form=skydnc</v>
    <v>Learn more on Bing</v>
  </rv>
  <rv s="1">
    <v>en-US</v>
    <v>a1y1w7</v>
    <v>268435456</v>
    <v>1</v>
    <v>Powered by Refinitiv</v>
    <v>0</v>
    <v>M&amp;T BANK CORPORATION (XNYS:MTB)</v>
    <v>2</v>
    <v>3</v>
    <v>Finance</v>
    <v>4</v>
    <v>193.42</v>
    <v>138.43</v>
    <v>0.82220000000000004</v>
    <v>-0.76</v>
    <v>-5.3140000000000001E-3</v>
    <v>USD</v>
    <v>M&amp;T Bank Corporation is a bank holding company. The Company’s bank subsidiaries include M&amp;T Bank and Wilmington Trust, N.A. It offers retail and commercial banking, and others. Its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secondary market to investors. The Retail Banking segment offers services through delivery channels, which include branch offices, automated teller machines, and others.</v>
    <v>17115</v>
    <v>New York Stock Exchange</v>
    <v>XNYS</v>
    <v>XNYS</v>
    <v>ONE M&amp;T PLAZA 5TH FLOOR, C/O CORPORATE REPORTING, BUFFALO, NY, 14203 US</v>
    <v>143.11199999999999</v>
    <v>Banking Services</v>
    <v>Stock</v>
    <v>44917.736991365622</v>
    <v>863</v>
    <v>141.96</v>
    <v>24554241925</v>
    <v>M&amp;T BANK CORPORATION</v>
    <v>M&amp;T BANK CORPORATION</v>
    <v>142.81</v>
    <v>13.487500000000001</v>
    <v>143.01</v>
    <v>142.25</v>
    <v>172613300</v>
    <v>MTB</v>
    <v>M&amp;T BANK CORPORATION (XNYS:MTB)</v>
    <v>448424</v>
    <v>1431618</v>
    <v>1969</v>
  </rv>
  <rv s="2">
    <v>864</v>
  </rv>
  <rv s="0">
    <v>https://www.bing.com/financeapi/forcetrigger?t=a1ru6h&amp;q=XNYS%3aEIX&amp;form=skydnc</v>
    <v>Learn more on Bing</v>
  </rv>
  <rv s="1">
    <v>en-US</v>
    <v>a1ru6h</v>
    <v>268435456</v>
    <v>1</v>
    <v>Powered by Refinitiv</v>
    <v>0</v>
    <v>EDISON INTERNATIONAL (XNYS:EIX)</v>
    <v>2</v>
    <v>3</v>
    <v>Finance</v>
    <v>4</v>
    <v>73.319999999999993</v>
    <v>54.45</v>
    <v>0.75790000000000002</v>
    <v>-1.41</v>
    <v>-2.1619000000000003E-2</v>
    <v>USD</v>
    <v>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v>
    <v>13003</v>
    <v>New York Stock Exchange</v>
    <v>XNYS</v>
    <v>XNYS</v>
    <v>PO Box 800, 2244 Walnut Grove Ave, ROSEMEAD, CA, 91770 US</v>
    <v>64.885000000000005</v>
    <v>Electrical Utilities &amp; IPPs</v>
    <v>Stock</v>
    <v>44917.737128471876</v>
    <v>866</v>
    <v>63.81</v>
    <v>24367424607</v>
    <v>EDISON INTERNATIONAL</v>
    <v>EDISON INTERNATIONAL</v>
    <v>64.62</v>
    <v>34.438899999999997</v>
    <v>65.22</v>
    <v>63.81</v>
    <v>381874700</v>
    <v>EIX</v>
    <v>EDISON INTERNATIONAL (XNYS:EIX)</v>
    <v>656842</v>
    <v>1919835</v>
    <v>1987</v>
  </rv>
  <rv s="2">
    <v>867</v>
  </rv>
  <rv s="0">
    <v>https://www.bing.com/financeapi/forcetrigger?t=azetdm&amp;q=XNYS%3aCBRE&amp;form=skydnc</v>
    <v>Learn more on Bing</v>
  </rv>
  <rv s="1">
    <v>en-US</v>
    <v>azetdm</v>
    <v>268435456</v>
    <v>1</v>
    <v>Powered by Refinitiv</v>
    <v>0</v>
    <v>CBRE GROUP, INC. (XNYS:CBRE)</v>
    <v>2</v>
    <v>3</v>
    <v>Finance</v>
    <v>4</v>
    <v>111</v>
    <v>66.31</v>
    <v>1.3629</v>
    <v>-1.79</v>
    <v>-2.3361999999999997E-2</v>
    <v>USD</v>
    <v>CBRE Group, Inc. is a holding company. The Company's Advisory Services segment provides a range of services globally, including property leasing, property sales, mortgage services, property management services and valuation services. The Global Workplace Solutions segment provides a suite of integrated, contractually based outsourcing services to occupiers of real estate, including facilities management and project management. The Real Estate Investments includes segment investment management services provided globally; development services in the United States, United Kingdom and Continental Europe, and legacy flexible office space solutions. The Company provides services to real estate investors and occupiers. Its services include capital markets, property leasing, investment management, property management, valuation and development services, among others. The Company also provides expert technical support services for high-end laboratory systems in the United States.</v>
    <v>105000</v>
    <v>New York Stock Exchange</v>
    <v>XNYS</v>
    <v>XNYS</v>
    <v>2100 Mckinney Avenue, Suite 1250, DALLAS, TX, 75201 US</v>
    <v>76</v>
    <v>Real Estate Operations</v>
    <v>Stock</v>
    <v>44917.73691592578</v>
    <v>869</v>
    <v>74.83</v>
    <v>23642426255</v>
    <v>CBRE GROUP, INC.</v>
    <v>CBRE GROUP, INC.</v>
    <v>75.7</v>
    <v>12.6541</v>
    <v>76.62</v>
    <v>74.83</v>
    <v>315948500</v>
    <v>CBRE</v>
    <v>CBRE GROUP, INC. (XNYS:CBRE)</v>
    <v>332217</v>
    <v>1562101</v>
    <v>2001</v>
  </rv>
  <rv s="2">
    <v>870</v>
  </rv>
  <rv s="0">
    <v>https://www.bing.com/financeapi/forcetrigger?t=a1uou2&amp;q=XNYS%3aHIG&amp;form=skydnc</v>
    <v>Learn more on Bing</v>
  </rv>
  <rv s="1">
    <v>en-US</v>
    <v>a1uou2</v>
    <v>268435456</v>
    <v>1</v>
    <v>Powered by Refinitiv</v>
    <v>0</v>
    <v>THE HARTFORD FINANCIAL SERVICES GROUP, INC. (XNYS:HIG)</v>
    <v>2</v>
    <v>3</v>
    <v>Finance</v>
    <v>4</v>
    <v>76.959999999999994</v>
    <v>60.164999999999999</v>
    <v>0.90690000000000004</v>
    <v>-1.44</v>
    <v>-1.8942000000000001E-2</v>
    <v>USD</v>
    <v>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 The Company sells products through multiple distribution channels to individuals and businesses.</v>
    <v>18100</v>
    <v>New York Stock Exchange</v>
    <v>XNYS</v>
    <v>XNYS</v>
    <v>1 Hartford Plz, HARTFORD, CT, 06155-0001 US</v>
    <v>75.95</v>
    <v>Insurance</v>
    <v>Stock</v>
    <v>44917.736824490625</v>
    <v>872</v>
    <v>74.58</v>
    <v>23723815962</v>
    <v>THE HARTFORD FINANCIAL SERVICES GROUP, INC.</v>
    <v>THE HARTFORD FINANCIAL SERVICES GROUP, INC.</v>
    <v>75.72</v>
    <v>13.25</v>
    <v>76.02</v>
    <v>74.58</v>
    <v>318098900</v>
    <v>HIG</v>
    <v>THE HARTFORD FINANCIAL SERVICES GROUP, INC. (XNYS:HIG)</v>
    <v>287890</v>
    <v>1647851</v>
    <v>1985</v>
  </rv>
  <rv s="2">
    <v>873</v>
  </rv>
  <rv s="0">
    <v>https://www.bing.com/financeapi/forcetrigger?t=a1pf4c&amp;q=XNAS%3aCDW&amp;form=skydnc</v>
    <v>Learn more on Bing</v>
  </rv>
  <rv s="1">
    <v>en-US</v>
    <v>a1pf4c</v>
    <v>268435456</v>
    <v>1</v>
    <v>Powered by Refinitiv</v>
    <v>0</v>
    <v>CDW CORPORATION (XNAS:CDW)</v>
    <v>2</v>
    <v>3</v>
    <v>Finance</v>
    <v>4</v>
    <v>208.70500000000001</v>
    <v>147.91</v>
    <v>1.1337999999999999</v>
    <v>-5.44</v>
    <v>-3.0040000000000001E-2</v>
    <v>USD</v>
    <v>CDW Corporation is a technology company that is a multi-brand provider of information technology (IT) solutions to small, medium and large business, government, education and healthcare customers in the United States, the United Kingdom and Canada. The Company’s array of offerings ranges from discrete hardware and software products to integrated IT solutions and services that include on-premises, hybrid and cloud capabilities across hybrid infrastructure, digital experience and security. The Company's business segments include Corporate, Small Business, and Public. The Corporate segment primarily serves the United States private sector business customers. The Small Business segment primarily serves the United States private sector business customers. The Public segment comprises government agencies, education, and healthcare institutions in the United States. The Company's solutions are delivered in physical, virtual and cloud-based environments.</v>
    <v>13900</v>
    <v>Nasdaq Stock Market</v>
    <v>XNAS</v>
    <v>XNAS</v>
    <v>200 N Milwaukee Ave, VERNON HILLS, IL, 60061 US</v>
    <v>179.61</v>
    <v>Software &amp; IT Services</v>
    <v>Stock</v>
    <v>44917.736997673441</v>
    <v>875</v>
    <v>175.65</v>
    <v>23781429150</v>
    <v>CDW CORPORATION</v>
    <v>CDW CORPORATION</v>
    <v>179.48</v>
    <v>23.807200000000002</v>
    <v>181.09</v>
    <v>175.65</v>
    <v>135391000</v>
    <v>CDW</v>
    <v>CDW CORPORATION (XNAS:CDW)</v>
    <v>142890</v>
    <v>591754</v>
    <v>2007</v>
  </rv>
  <rv s="2">
    <v>876</v>
  </rv>
  <rv s="0">
    <v>https://www.bing.com/financeapi/forcetrigger?t=a1skmw&amp;q=XNAS%3aFANG&amp;form=skydnc</v>
    <v>Learn more on Bing</v>
  </rv>
  <rv s="1">
    <v>en-US</v>
    <v>a1skmw</v>
    <v>268435456</v>
    <v>1</v>
    <v>Powered by Refinitiv</v>
    <v>0</v>
    <v>DIAMONDBACK ENERGY, INC. (XNAS:FANG)</v>
    <v>2</v>
    <v>3</v>
    <v>Finance</v>
    <v>4</v>
    <v>168.95</v>
    <v>99.369299999999996</v>
    <v>2.0013999999999998</v>
    <v>-5.0949999999999998</v>
    <v>-3.7190000000000001E-2</v>
    <v>USD</v>
    <v>Diamondback Energy, Inc. is an independent oil and gas company, which is focused on the acquisition, development, exploration and exploitation of unconventional, onshore oil and natural gas reserves in the Permian Basin in West Texas. The Company operates through upstream segment which is engaged in the acquisition, development, exploration and exploitation of unconventional, onshore oil and natural gas reserves primarily in the Permian Basin in West Texas. The midstream operations are focused on owning, operating, developing and acquiring midstream infrastructure assets in the Midland and Delaware Basins of the Permian Basin. Its total acreage position in the Permian Basin is approximately 525,045 acres, which consisted primarily of approximately 343,782 acres in the Midland Basin and approximately 153,203 acres in the Delaware Basin. Its subsidiaries include Diamondback E&amp;P LLC, Viper Energy Partners GP LLC, Rattler Midstream GP LLC and QEP Resources, Inc.</v>
    <v>870</v>
    <v>Nasdaq Stock Market</v>
    <v>XNAS</v>
    <v>XNAS</v>
    <v>SUITE 1210, 500 WEST TEXAS, MIDLAND, TX, 79701 US</v>
    <v>137.28</v>
    <v>Oil &amp; Gas</v>
    <v>Stock</v>
    <v>44917.737099999998</v>
    <v>878</v>
    <v>131.80000000000001</v>
    <v>23215095333</v>
    <v>DIAMONDBACK ENERGY, INC.</v>
    <v>DIAMONDBACK ENERGY, INC.</v>
    <v>137.07</v>
    <v>5.5746000000000002</v>
    <v>137</v>
    <v>131.905</v>
    <v>175998600</v>
    <v>FANG</v>
    <v>DIAMONDBACK ENERGY, INC. (XNAS:FANG)</v>
    <v>784893</v>
    <v>3210102</v>
    <v>2011</v>
  </rv>
  <rv s="2">
    <v>879</v>
  </rv>
  <rv s="0">
    <v>http://en.wikipedia.org/wiki/Hewlett-Packard</v>
    <v>Wikipedia</v>
  </rv>
  <rv s="3">
    <v>3</v>
    <v>881</v>
  </rv>
  <rv s="4">
    <v>9</v>
    <v>https://www.bing.com/th?id=AMMS_98757b1e7b158827481b7c629463c21b&amp;qlt=95</v>
    <v>882</v>
    <v>0</v>
    <v>https://www.bing.com/images/search?form=xlimg&amp;q=hp+company</v>
    <v>Image of HP INC.</v>
  </rv>
  <rv s="0">
    <v>https://www.bing.com/financeapi/forcetrigger?t=a1uu5r&amp;q=XNYS%3aHPQ&amp;form=skydnc</v>
    <v>Learn more on Bing</v>
  </rv>
  <rv s="5">
    <v>en-US</v>
    <v>a1uu5r</v>
    <v>268435456</v>
    <v>1</v>
    <v>Powered by Refinitiv</v>
    <v>5</v>
    <v>HP INC. (XNYS:HPQ)</v>
    <v>7</v>
    <v>8</v>
    <v>Finance</v>
    <v>4</v>
    <v>41.47</v>
    <v>24.074999999999999</v>
    <v>1.0369999999999999</v>
    <v>-0.56000000000000005</v>
    <v>-2.0981999999999997E-2</v>
    <v>USD</v>
    <v>HP Inc. is a global provider of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peripherals, software, support and services. The Printing segment provides consumer and commercial printer hardware, supplies, services and solutions. The Printing segment is also focused on graphics and three-dimensional (3D) imaging solutions in the commercial and industrial markets. The Corporate Investments segment includes HP Labs and certain business incubation and investment projects.</v>
    <v>58000</v>
    <v>New York Stock Exchange</v>
    <v>XNYS</v>
    <v>XNYS</v>
    <v>1501 Page Mill Rd, PALO ALTO, CA, 94304-1126 US</v>
    <v>26.465</v>
    <v>883</v>
    <v>Computers, Phones &amp; Household Electronics</v>
    <v>Stock</v>
    <v>44917.737072036718</v>
    <v>884</v>
    <v>26.11</v>
    <v>25663469754</v>
    <v>HP INC.</v>
    <v>HP INC.</v>
    <v>26.23</v>
    <v>8.8568999999999996</v>
    <v>26.69</v>
    <v>26.13</v>
    <v>982145800</v>
    <v>HPQ</v>
    <v>HP INC. (XNYS:HPQ)</v>
    <v>1774243</v>
    <v>8399371</v>
    <v>1998</v>
  </rv>
  <rv s="2">
    <v>885</v>
  </rv>
  <rv s="0">
    <v>https://www.bing.com/financeapi/forcetrigger?t=a1tym7&amp;q=XNYS%3aGLW&amp;form=skydnc</v>
    <v>Learn more on Bing</v>
  </rv>
  <rv s="1">
    <v>en-US</v>
    <v>a1tym7</v>
    <v>268435456</v>
    <v>1</v>
    <v>Powered by Refinitiv</v>
    <v>0</v>
    <v>CORNING INCORPORATED (XNYS:GLW)</v>
    <v>2</v>
    <v>3</v>
    <v>Finance</v>
    <v>4</v>
    <v>43.47</v>
    <v>28.98</v>
    <v>1.0502</v>
    <v>-0.94499999999999995</v>
    <v>-2.9504000000000002E-2</v>
    <v>USD</v>
    <v>Corning Incorporated is a materials science technology and innovation company. The Company operates through five segments: Display Technologies, Optical Communications, Specialty Materials, Environmental Technologies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Specialty Materials segment manufactures products that provide more than 150 material formulations for glass, glass ceramics and fluoride crystals. The Environmental Technologies segment manufactures ceramic substrates and filters for automotive and diesel applications. The Life Sciences segment manufactures glass and plastic labware, equipment, media, serum and reagents enabling workflow solutions for drug discovery and bioproduction.</v>
    <v>61200</v>
    <v>New York Stock Exchange</v>
    <v>XNYS</v>
    <v>XNYS</v>
    <v>One Riverfront Plaza, CORNING, NY, 14831-0001 US</v>
    <v>31.75</v>
    <v>Electronic Equipment &amp; Parts</v>
    <v>Stock</v>
    <v>44917.737105150001</v>
    <v>887</v>
    <v>31.06</v>
    <v>26292047369</v>
    <v>CORNING INCORPORATED</v>
    <v>CORNING INCORPORATED</v>
    <v>31.71</v>
    <v>14.939399999999999</v>
    <v>32.03</v>
    <v>31.085000000000001</v>
    <v>845811400</v>
    <v>GLW</v>
    <v>CORNING INCORPORATED (XNYS:GLW)</v>
    <v>1133920</v>
    <v>3918242</v>
    <v>1936</v>
  </rv>
  <rv s="2">
    <v>888</v>
  </rv>
  <rv s="0">
    <v>https://www.bing.com/financeapi/forcetrigger?t=a1rrh7&amp;q=XNYS%3aEFX&amp;form=skydnc</v>
    <v>Learn more on Bing</v>
  </rv>
  <rv s="1">
    <v>en-US</v>
    <v>a1rrh7</v>
    <v>268435456</v>
    <v>1</v>
    <v>Powered by Refinitiv</v>
    <v>0</v>
    <v>EQUIFAX INC. (XNYS:EFX)</v>
    <v>2</v>
    <v>3</v>
    <v>Finance</v>
    <v>4</v>
    <v>295.94</v>
    <v>145.97999999999999</v>
    <v>1.4282999999999999</v>
    <v>-5.91</v>
    <v>-2.9996999999999999E-2</v>
    <v>USD</v>
    <v>Equifax Inc. is a global data, analytics and technology company that provides information solutions and human resources business process outsourcing services for businesses, governments and consumers. Its segments include Workforce Solutions, U.S. Information Solutions (USIS) and International. The Workforce Solutions segment is enabling customers to verify income, employment, educational history, criminal history, healthcare professional licensure and sanctions of people. It also provides LawLogix, which is a cloud-based I-9 software and immigration case management software. Its USIS segment provides consumer and commercial information solutions, including online information, decisioning technology solutions, identity management services, analytical services, fraud management services, portfolio management services, mortgage reporting and marketing services. Its International segment provides information technology and services to support debt collections and recovery management.</v>
    <v>12700</v>
    <v>New York Stock Exchange</v>
    <v>XNYS</v>
    <v>XNYS</v>
    <v>1550 Peachtree St NW, ATLANTA, GA, 30309-2402 US</v>
    <v>195.33</v>
    <v>Professional &amp; Commercial Services</v>
    <v>Stock</v>
    <v>44917.737004628907</v>
    <v>890</v>
    <v>190.83</v>
    <v>23400158174</v>
    <v>EQUIFAX INC.</v>
    <v>EQUIFAX INC.</v>
    <v>195.33</v>
    <v>34.251100000000001</v>
    <v>197.02</v>
    <v>191.11</v>
    <v>122443400</v>
    <v>EFX</v>
    <v>EQUIFAX INC. (XNYS:EFX)</v>
    <v>144417</v>
    <v>938313</v>
    <v>1913</v>
  </rv>
  <rv s="2">
    <v>891</v>
  </rv>
  <rv s="0">
    <v>https://www.bing.com/financeapi/forcetrigger?t=a24jvh&amp;q=XNAS%3aTSCO&amp;form=skydnc</v>
    <v>Learn more on Bing</v>
  </rv>
  <rv s="1">
    <v>en-US</v>
    <v>a24jvh</v>
    <v>268435456</v>
    <v>1</v>
    <v>Powered by Refinitiv</v>
    <v>0</v>
    <v>TRACTOR SUPPLY COMPANY (XNAS:TSCO)</v>
    <v>2</v>
    <v>3</v>
    <v>Finance</v>
    <v>4</v>
    <v>241.54</v>
    <v>166.49</v>
    <v>0.89329999999999998</v>
    <v>-4.6749999999999998</v>
    <v>-2.1819999999999999E-2</v>
    <v>USD</v>
    <v>Tractor Supply Company is a rural lifestyle retailer in the United States. The Company is focused on supplying the needs of recreational farmers and ranchers. It operates retail stores under the names Tractor Supply Company, Petsense, and Del’s Feed &amp; Farm Supply. Its stores are located primarily in towns outlying various metropolitan markets and in rural communities. The Company also offer its products through the Tractor Supply mobile application and online at tractorsupply.com and petsense.com. The Company's selection of merchandise consists of various product categories, including livestock and pet; hardware, tools and trucks; seasonal, gift and toy products; clothing and footwear, and agriculture. Its brands include 4health, JobSmart, Bit &amp; Bridle, Paws &amp; Claws, Blue Mountain, Producer’s Pride, C.E. Schmidt, Redstone, Dumor, Untamed, Treeline, Countyline and Royal Wing. It operates approximately 2,027 retail stores in 49 states.</v>
    <v>22000</v>
    <v>Nasdaq Stock Market</v>
    <v>XNAS</v>
    <v>XNAS</v>
    <v>5401 Virginia Way, BRENTWOOD, TN, 37027 US</v>
    <v>212.08</v>
    <v>Specialty Retailers</v>
    <v>Stock</v>
    <v>44917.737053043747</v>
    <v>893</v>
    <v>208.81</v>
    <v>23666750000</v>
    <v>TRACTOR SUPPLY COMPANY</v>
    <v>TRACTOR SUPPLY COMPANY</v>
    <v>212.08</v>
    <v>23.271599999999999</v>
    <v>214.25</v>
    <v>209.57499999999999</v>
    <v>110463200</v>
    <v>TSCO</v>
    <v>TRACTOR SUPPLY COMPANY (XNAS:TSCO)</v>
    <v>419963</v>
    <v>1002662</v>
    <v>1982</v>
  </rv>
  <rv s="2">
    <v>894</v>
  </rv>
  <rv s="0">
    <v>https://www.bing.com/financeapi/forcetrigger?t=a24war&amp;q=XNAS%3aULTA&amp;form=skydnc</v>
    <v>Learn more on Bing</v>
  </rv>
  <rv s="1">
    <v>en-US</v>
    <v>a24war</v>
    <v>268435456</v>
    <v>1</v>
    <v>Powered by Refinitiv</v>
    <v>0</v>
    <v>ULTA BEAUTY, INC. (XNAS:ULTA)</v>
    <v>2</v>
    <v>3</v>
    <v>Finance</v>
    <v>4</v>
    <v>483.8</v>
    <v>330.79910000000001</v>
    <v>1.3143</v>
    <v>-2.2000000000000002</v>
    <v>-4.8640000000000003E-3</v>
    <v>USD</v>
    <v>Ulta Beauty, Inc. (Ulta Beauty) is a beauty retailer. The Company operates specialty retail stores, which are engaged in selling cosmetics, fragrance, haircare and skincare products, and related accessories and services. The stores also feature full-service salons. Its stores, e-commerce Website, and mobile applications offer approximately 25,000 products across various categories and price points, including Ulta Beauty's own private label and the Ulta Beauty Collection. Ulta Beauty offers a portfolio across six categories: cosmetics; haircare products and styling tools; skincare; fragrance and bath; services; and accessories and other. The Company also provides private-label and co-branded credit card programs, loyalty programs, and gift cards. Ulta Beauty also offers a full-service salon in every store featuring hair, skin, makeup, and brow services. The Company operates approximately 1,343 stores across 50 states.</v>
    <v>16500</v>
    <v>Nasdaq Stock Market</v>
    <v>XNAS</v>
    <v>XNAS</v>
    <v>1000 Remington Blvd Ste 120, BOLINGBROOK, IL, 60440-4708 US</v>
    <v>455.27499999999998</v>
    <v>Specialty Retailers</v>
    <v>Stock</v>
    <v>44917.737105497654</v>
    <v>896</v>
    <v>445.63</v>
    <v>22900925769</v>
    <v>ULTA BEAUTY, INC.</v>
    <v>ULTA BEAUTY, INC.</v>
    <v>449</v>
    <v>19.8843</v>
    <v>452.29</v>
    <v>450.09</v>
    <v>50880770</v>
    <v>ULTA</v>
    <v>ULTA BEAUTY, INC. (XNAS:ULTA)</v>
    <v>370901</v>
    <v>738991</v>
    <v>2016</v>
  </rv>
  <rv s="2">
    <v>897</v>
  </rv>
  <rv s="0">
    <v>https://www.bing.com/financeapi/forcetrigger?t=a1mscw&amp;q=XNAS%3aACGL&amp;form=skydnc</v>
    <v>Learn more on Bing</v>
  </rv>
  <rv s="1">
    <v>en-US</v>
    <v>a1mscw</v>
    <v>268435456</v>
    <v>1</v>
    <v>Powered by Refinitiv</v>
    <v>0</v>
    <v>ARCH CAPITAL GROUP LTD. (XNAS:ACGL)</v>
    <v>2</v>
    <v>3</v>
    <v>Finance</v>
    <v>4</v>
    <v>63.53</v>
    <v>41.05</v>
    <v>0.76060000000000005</v>
    <v>-0.56000000000000005</v>
    <v>-8.8380000000000004E-3</v>
    <v>USD</v>
    <v>Arch Capital Group Ltd. is a Bermuda-based company that provides insurance, reinsurance and mortgage insurance through its wholly owned subsidiaries. Its insurance segment consists of the Company’s insurance underwriting units, which offer specialty product lines, including construction and national accounts; excess and surplus casualty; lenders products; professional lines; programs; property, energy, marine and aviation; travel, accident and health, and other (consisting of alternative markets, excess workers' compensation and surety business). The reinsurance segment consists of the Company’s reinsurance underwriting units, which offer specialty product lines, including casualty; marine and aviation; other specialty; property catastrophe; property excluding property catastrophe, and other. The mortgage segment includes the Company’s United States primary mortgage insurance business, investment and services related to United States credit-risk transfer (CRT).</v>
    <v>5200</v>
    <v>Nasdaq Stock Market</v>
    <v>XNAS</v>
    <v>XNAS</v>
    <v>WATERLOO HOUSE, GROUND FLOOR, 100 PITTS BAY ROAD, PEMBROKE, HM 08 BM</v>
    <v>63.34</v>
    <v>Insurance</v>
    <v>Stock</v>
    <v>44917.736595798437</v>
    <v>899</v>
    <v>62.79</v>
    <v>23228024400</v>
    <v>ARCH CAPITAL GROUP LTD.</v>
    <v>ARCH CAPITAL GROUP LTD.</v>
    <v>63.09</v>
    <v>20.293500000000002</v>
    <v>63.36</v>
    <v>62.8</v>
    <v>369873000</v>
    <v>ACGL</v>
    <v>ARCH CAPITAL GROUP LTD. (XNAS:ACGL)</v>
    <v>424840</v>
    <v>2048237</v>
    <v>2000</v>
  </rv>
  <rv s="2">
    <v>900</v>
  </rv>
  <rv s="0">
    <v>https://www.bing.com/financeapi/forcetrigger?t=a25f6h&amp;q=XNYS%3aVMC&amp;form=skydnc</v>
    <v>Learn more on Bing</v>
  </rv>
  <rv s="1">
    <v>en-US</v>
    <v>a25f6h</v>
    <v>268435456</v>
    <v>1</v>
    <v>Powered by Refinitiv</v>
    <v>0</v>
    <v>VULCAN MATERIALS COMPANY (XNYS:VMC)</v>
    <v>2</v>
    <v>3</v>
    <v>Finance</v>
    <v>4</v>
    <v>213.65</v>
    <v>137.54</v>
    <v>0.79249999999999998</v>
    <v>-3.99</v>
    <v>-2.2675999999999998E-2</v>
    <v>USD</v>
    <v>Vulcan Materials Company is a supplier of construction aggregates and a producer of asphalt mix and ready-mixed concrete. The Company operates through four segments: Aggregates, Asphalt, Concrete and Calcium. The Aggregates segment produces and sells aggregates, such as crushed stone, sand and gravel, sand, and other aggregates, and related products and services. The Asphalt segment produces and sells asphalt mix in Alabama, Arizona, California, New Mexico, Tennessee and Texas, and includes asphalt construction in Alabama, Tennessee and Texas. The Concrete segment produces and sells ready-mixed concrete in California, Maryland, New Jersey, New York, Oklahoma, Pennsylvania, Texas and Virginia. The Calcium segment consists of a Florida facility that mines, produces and sells calcium products for the animal feed, plastics and water treatment industries. It sells aggregates that are used as ballast for the construction and maintenance of railroad tracks.</v>
    <v>11437</v>
    <v>New York Stock Exchange</v>
    <v>XNYS</v>
    <v>XNYS</v>
    <v>1200 Urban Center Dr, BIRMINGHAM, AL, 35242 US</v>
    <v>174.95</v>
    <v>Construction Materials</v>
    <v>Stock</v>
    <v>44917.736940775001</v>
    <v>902</v>
    <v>171.86</v>
    <v>22855999593</v>
    <v>VULCAN MATERIALS COMPANY</v>
    <v>VULCAN MATERIALS COMPANY</v>
    <v>174.3</v>
    <v>38.473599999999998</v>
    <v>175.96</v>
    <v>171.97</v>
    <v>132906900</v>
    <v>VMC</v>
    <v>VULCAN MATERIALS COMPANY (XNYS:VMC)</v>
    <v>201920</v>
    <v>649784</v>
    <v>2007</v>
  </rv>
  <rv s="2">
    <v>903</v>
  </rv>
  <rv s="0">
    <v>https://www.bing.com/financeapi/forcetrigger?t=a1saoc&amp;q=XNYS%3aETR&amp;form=skydnc</v>
    <v>Learn more on Bing</v>
  </rv>
  <rv s="1">
    <v>en-US</v>
    <v>a1saoc</v>
    <v>268435456</v>
    <v>1</v>
    <v>Powered by Refinitiv</v>
    <v>0</v>
    <v>ENTERGY CORPORATION (XNYS:ETR)</v>
    <v>2</v>
    <v>3</v>
    <v>Finance</v>
    <v>4</v>
    <v>126.815</v>
    <v>94.94</v>
    <v>0.62980000000000003</v>
    <v>-2.71</v>
    <v>-2.3751000000000001E-2</v>
    <v>USD</v>
    <v>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v>
    <v>12369</v>
    <v>New York Stock Exchange</v>
    <v>XNYS</v>
    <v>XNYS</v>
    <v>639 Loyola Ave, NEW ORLEANS, LA, 70113 US</v>
    <v>113.27</v>
    <v>Electrical Utilities &amp; IPPs</v>
    <v>Stock</v>
    <v>44917.737105810156</v>
    <v>905</v>
    <v>111.39</v>
    <v>22666049343</v>
    <v>ENTERGY CORPORATION</v>
    <v>ENTERGY CORPORATION</v>
    <v>113.24</v>
    <v>18.531600000000001</v>
    <v>114.1</v>
    <v>111.39</v>
    <v>203483700</v>
    <v>ETR</v>
    <v>ENTERGY CORPORATION (XNYS:ETR)</v>
    <v>285906</v>
    <v>1351885</v>
    <v>1992</v>
  </rv>
  <rv s="2">
    <v>906</v>
  </rv>
  <rv s="0">
    <v>https://www.bing.com/financeapi/forcetrigger?t=a1tgqh&amp;q=XNYS%3aFTV&amp;form=skydnc</v>
    <v>Learn more on Bing</v>
  </rv>
  <rv s="1">
    <v>en-US</v>
    <v>a1tgqh</v>
    <v>268435456</v>
    <v>1</v>
    <v>Powered by Refinitiv</v>
    <v>0</v>
    <v>FORTIVE CORPORATION (XNYS:FTV)</v>
    <v>2</v>
    <v>3</v>
    <v>Finance</v>
    <v>4</v>
    <v>76.62</v>
    <v>52.47</v>
    <v>1.1254</v>
    <v>-1.98</v>
    <v>-3.0428999999999998E-2</v>
    <v>USD</v>
    <v>Fortive Corporation is a provider of essential technologies for connected workflow solutions across a range of end-markets. It operates through three segments: Intelligent Operating Solutions, Precision Technologies, and Advanced Healthcare Solutions. Intelligent Operating Solutions segment offers various Products and services under a range of brands, including Accruent, Fluke, Gordian, Industrial Scientific, Intelex, Pruftechnik, and Servicechannel. Precision Technologies segment provides electrical test and measurement instruments and services, energetic material devices, and a range of sensor and control system solutions. Advanced Healthcare Solutions segment provides hardware, consumables, software and services that helps in the customers' workflows, including instrument sterilization and device reprocessing, instrument tracking, cell therapy equipment design and manufacturing, biomedical test tools, radiation safety monitoring, end-to-end clinical productivity solutions and asset</v>
    <v>18000</v>
    <v>New York Stock Exchange</v>
    <v>XNYS</v>
    <v>XNYS</v>
    <v>6920 Seaway Blvd, EVERETT, WA, 98203-5829 US</v>
    <v>64.665000000000006</v>
    <v>Machinery, Equipment &amp; Components</v>
    <v>Stock</v>
    <v>44917.737021099216</v>
    <v>908</v>
    <v>63.09</v>
    <v>22321765647</v>
    <v>FORTIVE CORPORATION</v>
    <v>FORTIVE CORPORATION</v>
    <v>64.37</v>
    <v>33.776499999999999</v>
    <v>65.069999999999993</v>
    <v>63.09</v>
    <v>353808300</v>
    <v>FTV</v>
    <v>FORTIVE CORPORATION (XNYS:FTV)</v>
    <v>241034</v>
    <v>1572247</v>
    <v>2015</v>
  </rv>
  <rv s="2">
    <v>909</v>
  </rv>
  <rv s="0">
    <v>https://www.bing.com/financeapi/forcetrigger?t=a264qh&amp;q=XNYS%3aWY&amp;form=skydnc</v>
    <v>Learn more on Bing</v>
  </rv>
  <rv s="1">
    <v>en-US</v>
    <v>a264qh</v>
    <v>268435456</v>
    <v>1</v>
    <v>Powered by Refinitiv</v>
    <v>0</v>
    <v>WEYERHAEUSER COMPANY (XNYS:WY)</v>
    <v>2</v>
    <v>3</v>
    <v>Finance</v>
    <v>4</v>
    <v>42.86</v>
    <v>27.364999999999998</v>
    <v>1.4757</v>
    <v>-0.54500000000000004</v>
    <v>-1.7517999999999999E-2</v>
    <v>USD</v>
    <v>Weyerhaeuser Company is a timber, land and forest products company. The Company owns or controls approximately 11 million acres of timberlands in the United States and manages an additional 14.1 million acres of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natural gas production, wind and solar. The Wood Products segment consists of structural lumber, oriented strand board, engineered wood products and building materials distribution. The Company also transfers raw materials, semi-finished materials, and end products among its business segments. It operates approximately 35 manufacturing facilities in the United States and Canada.</v>
    <v>9214</v>
    <v>New York Stock Exchange</v>
    <v>XNYS</v>
    <v>XNYS</v>
    <v>220 Occidental Avenue South, SEATTLE, WA, 98104 US</v>
    <v>30.954999999999998</v>
    <v>Residential &amp; Commercial REIT</v>
    <v>Stock</v>
    <v>44917.737102661718</v>
    <v>911</v>
    <v>30.511199999999999</v>
    <v>22493303105</v>
    <v>WEYERHAEUSER COMPANY</v>
    <v>WEYERHAEUSER COMPANY</v>
    <v>30.79</v>
    <v>10.170500000000001</v>
    <v>31.11</v>
    <v>30.565000000000001</v>
    <v>735917000</v>
    <v>WY</v>
    <v>WEYERHAEUSER COMPANY (XNYS:WY)</v>
    <v>877360</v>
    <v>3456510</v>
    <v>1900</v>
  </rv>
  <rv s="2">
    <v>912</v>
  </rv>
  <rv s="0">
    <v>http://de.wikipedia.org/wiki/Lennar</v>
    <v>Wikipedia</v>
  </rv>
  <rv s="3">
    <v>3</v>
    <v>914</v>
  </rv>
  <rv s="4">
    <v>9</v>
    <v>https://www.bing.com/th?id=AMMS_53583359b2caf7766f03578d319fe529&amp;qlt=95</v>
    <v>915</v>
    <v>0</v>
    <v>https://www.bing.com/images/search?form=xlimg&amp;q=lennar+corporation</v>
    <v>Image of LENNAR CORPORATION</v>
  </rv>
  <rv s="0">
    <v>https://www.bing.com/financeapi/forcetrigger?t=a1wucw&amp;q=XNYS%3aLEN&amp;form=skydnc</v>
    <v>Learn more on Bing</v>
  </rv>
  <rv s="5">
    <v>en-US</v>
    <v>a1wucw</v>
    <v>268435456</v>
    <v>1</v>
    <v>Powered by Refinitiv</v>
    <v>5</v>
    <v>LENNAR CORPORATION (XNYS:LEN)</v>
    <v>7</v>
    <v>8</v>
    <v>Finance</v>
    <v>4</v>
    <v>116.72499999999999</v>
    <v>62.54</v>
    <v>1.3902000000000001</v>
    <v>-1.46</v>
    <v>-1.6120000000000002E-2</v>
    <v>USD</v>
    <v>Lennar Corporation is a homebuilder and an originator of residential and commercial mortgage loans. The Company is also a provider of title insurance and closing services, and a developer of multifamily rental properties. The Company's segments include Homebuilding East, Homebuilding Central, Homebuilding Texas, Homebuilding West, Financial Services, Multifamily and Lennar other. Its Homebuilding segments primarily include the construction and sale of single-family attached and detached homes, as well as the purchase, development and sale of residential land directly and through its unconsolidated entities. Its Financial Services segment include primarily mortgage financing, title and closing services primarily for buyers of its homes. Its Multifamily segment focuses on developing a diversified portfolio of institutional quality multifamily rental properties in selected United States markets. Its Lennar Other segment primarily includes strategic investments in technology companies.</v>
    <v>10753</v>
    <v>New York Stock Exchange</v>
    <v>XNYS</v>
    <v>XNYS</v>
    <v>5505 BLUE LAGOON DRIVE, MIAMI, FL, 33126 US</v>
    <v>90.16</v>
    <v>916</v>
    <v>Homebuilding &amp; Construction Supplies</v>
    <v>Stock</v>
    <v>44917.737105103908</v>
    <v>917</v>
    <v>89.02</v>
    <v>25796580000</v>
    <v>LENNAR CORPORATION</v>
    <v>LENNAR CORPORATION</v>
    <v>89.41</v>
    <v>5.7404000000000002</v>
    <v>90.57</v>
    <v>89.11</v>
    <v>291166600</v>
    <v>LEN</v>
    <v>LENNAR CORPORATION (XNYS:LEN)</v>
    <v>521416</v>
    <v>2297804</v>
    <v>1991</v>
  </rv>
  <rv s="2">
    <v>918</v>
  </rv>
  <rv s="0">
    <v>https://www.bing.com/financeapi/forcetrigger?t=a1mxkr&amp;q=XNYS%3aAEE&amp;form=skydnc</v>
    <v>Learn more on Bing</v>
  </rv>
  <rv s="1">
    <v>en-US</v>
    <v>a1mxkr</v>
    <v>268435456</v>
    <v>1</v>
    <v>Powered by Refinitiv</v>
    <v>0</v>
    <v>AMEREN CORPORATION (XNYS:AEE)</v>
    <v>2</v>
    <v>3</v>
    <v>Finance</v>
    <v>4</v>
    <v>99.2</v>
    <v>73.28</v>
    <v>0.42980000000000002</v>
    <v>-1.34</v>
    <v>-1.5124E-2</v>
    <v>USD</v>
    <v>Ameren Corporation is a public utility holding company. The Company conducts its business operations through its subsidiaries. Its primary assets are its equity interests in its subsidiaries, including Ameren Missouri, Ameren Missouri, and Ameren Transmission Company of Illinois (ATXI). The Company’s segments include Ameren Missouri, Ameren Illinois Electric Distribution, Ameren Illinois Natural Gas, and Ameren Transmission. The Ameren Missouri segment includes all of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v>
    <v>9116</v>
    <v>New York Stock Exchange</v>
    <v>XNYS</v>
    <v>XNYS</v>
    <v>1901 Chouteau Ave, ST. LOUIS, MO, 63103-3003 US</v>
    <v>88.25</v>
    <v>Multiline Utilities</v>
    <v>Stock</v>
    <v>44917.736798460159</v>
    <v>920</v>
    <v>87.26</v>
    <v>22558647172</v>
    <v>AMEREN CORPORATION</v>
    <v>AMEREN CORPORATION</v>
    <v>87.73</v>
    <v>22.173400000000001</v>
    <v>88.6</v>
    <v>87.26</v>
    <v>258522200</v>
    <v>AEE</v>
    <v>AMEREN CORPORATION (XNYS:AEE)</v>
    <v>188099</v>
    <v>1216677</v>
    <v>1995</v>
  </rv>
  <rv s="2">
    <v>921</v>
  </rv>
  <rv s="0">
    <v>https://www.bing.com/financeapi/forcetrigger?t=a1nyw7&amp;q=XNYS%3aAVB&amp;form=skydnc</v>
    <v>Learn more on Bing</v>
  </rv>
  <rv s="1">
    <v>en-US</v>
    <v>a1nyw7</v>
    <v>268435456</v>
    <v>1</v>
    <v>Powered by Refinitiv</v>
    <v>0</v>
    <v>AVALONBAY COMMUNITIES, INC. (XNYS:AVB)</v>
    <v>2</v>
    <v>3</v>
    <v>Finance</v>
    <v>4</v>
    <v>259.05</v>
    <v>158.35</v>
    <v>0.8901</v>
    <v>-2.3450000000000002</v>
    <v>-1.4442E-2</v>
    <v>USD</v>
    <v>AvalonBay Communities, Inc. is a real estate investment trust (REIT). The Company's segments include Same Store, Other Stabilized and Development/Redevelopment. The Company develops, redevelops, acquires, owns and operates multifamily apartment communities in New England, the New York/New Jersey metro area, the Mid-Atlantic, the Pacific Northwest, and Northern and Southern California, as well as in its expansion markets of Raleigh-Durham and Charlotte, North Carolina, Southeast Florida, Dallas and Austin, Texas, and Denver, Colorado. It focuses on metropolitan areas in these regions. It owns or holds a direct or indirect ownership interest in approximately 278 operating apartment communities containing 81,803 apartment homes in 12 states and the District of Columbia and 17 wholly owned apartment communities under development. The Company operates under four core brands: Avalon, AVA, eaves by Avalon and Kanso.</v>
    <v>2927</v>
    <v>New York Stock Exchange</v>
    <v>XNYS</v>
    <v>XNYS</v>
    <v>SUITE 800, 671 N. GLEBE ROAD, ARLINGTON, VA, 22203 US</v>
    <v>162.56</v>
    <v>Residential &amp; Commercial REIT</v>
    <v>Stock</v>
    <v>44917.737132534377</v>
    <v>923</v>
    <v>160.02500000000001</v>
    <v>22715130000</v>
    <v>AVALONBAY COMMUNITIES, INC.</v>
    <v>AVALONBAY COMMUNITIES, INC.</v>
    <v>161.49</v>
    <v>18.499500000000001</v>
    <v>162.37</v>
    <v>160.02500000000001</v>
    <v>139897400</v>
    <v>AVB</v>
    <v>AVALONBAY COMMUNITIES, INC. (XNYS:AVB)</v>
    <v>241567</v>
    <v>835708</v>
    <v>1995</v>
  </rv>
  <rv s="2">
    <v>924</v>
  </rv>
  <rv s="0">
    <v>https://www.bing.com/financeapi/forcetrigger?t=a1rk52&amp;q=XNAS%3aEBAY&amp;form=skydnc</v>
    <v>Learn more on Bing</v>
  </rv>
  <rv s="1">
    <v>en-US</v>
    <v>a1rk52</v>
    <v>268435456</v>
    <v>1</v>
    <v>Powered by Refinitiv</v>
    <v>0</v>
    <v>EBAY INC. (XNAS:EBAY)</v>
    <v>2</v>
    <v>3</v>
    <v>Finance</v>
    <v>4</v>
    <v>67.644999999999996</v>
    <v>35.92</v>
    <v>1.296</v>
    <v>-1.65</v>
    <v>-3.9971E-2</v>
    <v>USD</v>
    <v>eBay Inc. is a global commerce company, through its Marketplace platforms, which connects buyer and seller in more than 190 markets around the world. The Company's products include Promoted Listings Express, Promoted Listings Advanced and External Promoted Listings. The Company has developed user interfaces, buyer, seller and developer tools and transaction processing, database and network applications that help enable its users to reliably and securely complete transactions on its sites. The Company’s platforms include online marketplace located at www.ebay.com and its localized counterparts, including off-platform businesses in Japan and Turkey, as well as eBays suite of mobile apps. The platforms are accessible through an online experience (desktop and laptop computers), iOS and Android mobile devices and its application programming interfaces (APIs platform access for third party software developers). It offers TCGplayer a technology platform specializing in trading card games.</v>
    <v>10800</v>
    <v>Nasdaq Stock Market</v>
    <v>XNAS</v>
    <v>XNAS</v>
    <v>2025 Hamilton Avenue, SAN JOSE, CA, 95125 US</v>
    <v>40.715000000000003</v>
    <v>Software &amp; IT Services</v>
    <v>Stock</v>
    <v>44917.737114640622</v>
    <v>926</v>
    <v>39.61</v>
    <v>21505580133</v>
    <v>EBAY INC.</v>
    <v>EBAY INC.</v>
    <v>40.630000000000003</v>
    <v>253.23410000000001</v>
    <v>41.28</v>
    <v>39.630000000000003</v>
    <v>542659100</v>
    <v>EBAY</v>
    <v>EBAY INC. (XNAS:EBAY)</v>
    <v>1095343</v>
    <v>5377493</v>
    <v>1998</v>
  </rv>
  <rv s="2">
    <v>927</v>
  </rv>
  <rv s="0">
    <v>https://www.bing.com/financeapi/forcetrigger?t=a1squ2&amp;q=XNYS%3aFE&amp;form=skydnc</v>
    <v>Learn more on Bing</v>
  </rv>
  <rv s="1">
    <v>en-US</v>
    <v>a1squ2</v>
    <v>268435456</v>
    <v>1</v>
    <v>Powered by Refinitiv</v>
    <v>0</v>
    <v>FIRSTENERGY CORP. (XNYS:FE)</v>
    <v>2</v>
    <v>3</v>
    <v>Finance</v>
    <v>4</v>
    <v>48.85</v>
    <v>35.32</v>
    <v>0.4531</v>
    <v>-0.69499999999999995</v>
    <v>-1.6659E-2</v>
    <v>USD</v>
    <v>FirstEnergy Corp (FirstEnergy) and its subsidiaries are principally involved in the transmission, distribution, and generation of electricity. The Company operates through two segments: Regulated Distribution and Regulated Transmission segments. The Regulated Distribution distributes electricity through FirstEnergy’s ten utility operating companies, serving approximately six million customers within 65,000 square miles of Ohio, Pennsylvania, West Virginia, Maryland, New Jersey, and New York, and purchases power for its default service requirements in Ohio, Pennsylvania, New Jersey, and Maryland. This segment also controls approximately 3,580 megawatts (MWs) of regulated electric generation capacity located primarily in West Virginia and Virginia. The Regulated Transmission provides transmission infrastructure owned and operated by the transmission companies and certain of FirstEnergy's utilities to transmit electricity from generation sources to distribution facilities.</v>
    <v>12395</v>
    <v>New York Stock Exchange</v>
    <v>XNYS</v>
    <v>XNYS</v>
    <v>76 S Main St, AKRON, OH, 44308-1890 US</v>
    <v>41.68</v>
    <v>Electrical Utilities &amp; IPPs</v>
    <v>Stock</v>
    <v>44917.737113564064</v>
    <v>929</v>
    <v>41.02</v>
    <v>23456175030</v>
    <v>FIRSTENERGY CORP.</v>
    <v>FIRSTENERGY CORP.</v>
    <v>41.67</v>
    <v>18.984500000000001</v>
    <v>41.72</v>
    <v>41.024999999999999</v>
    <v>571753200</v>
    <v>FE</v>
    <v>FIRSTENERGY CORP. (XNYS:FE)</v>
    <v>609251</v>
    <v>3117363</v>
    <v>1996</v>
  </rv>
  <rv s="2">
    <v>930</v>
  </rv>
  <rv s="0">
    <v>https://www.bing.com/financeapi/forcetrigger?t=a1rcp2&amp;q=XNYS%3aDTE&amp;form=skydnc</v>
    <v>Learn more on Bing</v>
  </rv>
  <rv s="1">
    <v>en-US</v>
    <v>a1rcp2</v>
    <v>268435456</v>
    <v>1</v>
    <v>Powered by Refinitiv</v>
    <v>0</v>
    <v>DTE ENERGY COMPANY (XNYS:DTE)</v>
    <v>2</v>
    <v>3</v>
    <v>Finance</v>
    <v>4</v>
    <v>140.22999999999999</v>
    <v>100.64</v>
    <v>0.60019999999999996</v>
    <v>-1.94</v>
    <v>-1.652E-2</v>
    <v>USD</v>
    <v>DTE Energy Company is a diversified energy company. The Company's segments include Electric, Gas, DTE Vantage, Energy Trading, and Corporate and Other. The Electric segment consists principally of DTE Electric, which is engaged in the generation, purchase, distribution, and sale of electricity to residential, commercial, and industrial customers in southeastern Michigan. The Electric segment also consists of non-utility operations relating to renewable energy projects at DTE Sustainable Generation. The Gas segment consists principally of DTE Gas, a natural gas utility engaged in the purchase, storage, transportation, distribution, and sale of natural gas to residential, commercial, and industrial customers throughout Michigan, and the sale of storage and transportation capacity. The DTE Vantage segment is comprised primarily of projects that deliver energy and utility-type products, and services. The Energy Trading segment consists of energy marketing and trading operations.</v>
    <v>10300</v>
    <v>New York Stock Exchange</v>
    <v>XNYS</v>
    <v>XNYS</v>
    <v>One Energy Plaza, DETROIT, MI, 48226 US</v>
    <v>117.33</v>
    <v>Electrical Utilities &amp; IPPs</v>
    <v>Stock</v>
    <v>44917.737107175781</v>
    <v>932</v>
    <v>115.49</v>
    <v>22375263580</v>
    <v>DTE ENERGY COMPANY</v>
    <v>DTE ENERGY COMPANY</v>
    <v>117.08</v>
    <v>20.413499999999999</v>
    <v>117.43</v>
    <v>115.49</v>
    <v>193742000</v>
    <v>DTE</v>
    <v>DTE ENERGY COMPANY (XNYS:DTE)</v>
    <v>312752</v>
    <v>1637779</v>
    <v>1995</v>
  </rv>
  <rv s="2">
    <v>933</v>
  </rv>
  <rv s="0">
    <v>https://www.bing.com/financeapi/forcetrigger?t=a1tba2&amp;q=XNYS%3aFRC&amp;form=skydnc</v>
    <v>Learn more on Bing</v>
  </rv>
  <rv s="1">
    <v>en-US</v>
    <v>a1tba2</v>
    <v>268435456</v>
    <v>1</v>
    <v>Powered by Refinitiv</v>
    <v>0</v>
    <v>FIRST REPUBLIC BANK (XNYS:FRC)</v>
    <v>2</v>
    <v>3</v>
    <v>Finance</v>
    <v>4</v>
    <v>209.33</v>
    <v>106.86</v>
    <v>1.0753999999999999</v>
    <v>-5.01</v>
    <v>-4.1257999999999996E-2</v>
    <v>USD</v>
    <v>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v>
    <v>7114</v>
    <v>New York Stock Exchange</v>
    <v>XNYS</v>
    <v>XNYS</v>
    <v>111 Pine St, SAN FRANCISCO, CA, 94111-5602 US</v>
    <v>121.18</v>
    <v>Banking Services</v>
    <v>Stock</v>
    <v>44917.737104120315</v>
    <v>935</v>
    <v>116.38500000000001</v>
    <v>21296175068</v>
    <v>FIRST REPUBLIC BANK</v>
    <v>FIRST REPUBLIC BANK</v>
    <v>119.77</v>
    <v>14.466699999999999</v>
    <v>121.43</v>
    <v>116.42</v>
    <v>182925400</v>
    <v>FRC</v>
    <v>FIRST REPUBLIC BANK (XNYS:FRC)</v>
    <v>377724</v>
    <v>1518376</v>
    <v>2009</v>
  </rv>
  <rv s="2">
    <v>936</v>
  </rv>
  <rv s="0">
    <v>https://www.bing.com/financeapi/forcetrigger?t=a1sx7w&amp;q=XNAS%3aFITB&amp;form=skydnc</v>
    <v>Learn more on Bing</v>
  </rv>
  <rv s="1">
    <v>en-US</v>
    <v>a1sx7w</v>
    <v>268435456</v>
    <v>1</v>
    <v>Powered by Refinitiv</v>
    <v>0</v>
    <v>FIFTH THIRD BANCORP (XNAS:FITB)</v>
    <v>2</v>
    <v>3</v>
    <v>Finance</v>
    <v>4</v>
    <v>50.64</v>
    <v>30.92</v>
    <v>1.2384999999999999</v>
    <v>-0.57999999999999996</v>
    <v>-1.8130999999999998E-2</v>
    <v>USD</v>
    <v>Fifth Third Bancorp (the Bancorp) is a bank holding company for Fifth Third Bank, National Association. The Bancorp conducts its principal lending, deposit gathering, transaction processing and service advisory activities through its banking and non-banking subsidiaries from banking centers located throughout the Midwestern and Southeastern regions of the United States. It operates through four segments: Commercial Banking, which offers credit intermediation, cash management and financial services to large and middle-market businesses and government and professional customers; Branch Banking, which provides a range of deposit and loan products to individuals and small businesses through approximately 1,117 full-service banking centers; Consumer Lending, which includes its residential mortgage, automobile and other indirect lending activities, and Wealth and Asset Management, which provides a range of wealth management services for individuals, companies and nonprofit organizations.</v>
    <v>19187</v>
    <v>Nasdaq Stock Market</v>
    <v>XNAS</v>
    <v>XNAS</v>
    <v>38 Fountain Square Plaza, CINCINNATI, OH, 45263 US</v>
    <v>31.88</v>
    <v>Banking Services</v>
    <v>Stock</v>
    <v>44917.737002753907</v>
    <v>938</v>
    <v>31.385000000000002</v>
    <v>21559704642</v>
    <v>FIFTH THIRD BANCORP</v>
    <v>FIFTH THIRD BANCORP</v>
    <v>31.66</v>
    <v>9.8421000000000003</v>
    <v>31.99</v>
    <v>31.41</v>
    <v>686396200</v>
    <v>FITB</v>
    <v>FIFTH THIRD BANCORP (XNAS:FITB)</v>
    <v>1152265</v>
    <v>4539104</v>
    <v>1974</v>
  </rv>
  <rv s="2">
    <v>939</v>
  </rv>
  <rv s="0">
    <v>https://www.bing.com/financeapi/forcetrigger?t=a1x6rw&amp;q=XNYS%3aLUV&amp;form=skydnc</v>
    <v>Learn more on Bing</v>
  </rv>
  <rv s="1">
    <v>en-US</v>
    <v>a1x6rw</v>
    <v>268435456</v>
    <v>1</v>
    <v>Powered by Refinitiv</v>
    <v>0</v>
    <v>SOUTHWEST AIRLINES CO. (XNYS:LUV)</v>
    <v>2</v>
    <v>3</v>
    <v>Finance</v>
    <v>4</v>
    <v>50.1</v>
    <v>30.2</v>
    <v>1.0809</v>
    <v>-1.3049999999999999</v>
    <v>-3.5656E-2</v>
    <v>USD</v>
    <v>Southwest Airlines Co. (Southwest) operates Southwest Airlines, a passenger airline that provides scheduled air transportation in the United States and near-international markets. The Company provides point-to-point service. The Company offers ancillary services, such as Southwest's EarlyBird Check-In, upgraded boarding, and transportation of pets and unaccompanied minors, in accordance with Southwest's respective policies. EarlyBird Check-In provides customers with automatic check-in and an assigned boarding position before general boarding positions become available. It offers its fare products directly to customers through its Internet Website, Southwest.com. It has approximately 728 Boeing 737 aircraft in its fleet and 121 destinations in 42 states, the District of Columbia, the Commonwealth of Puerto Rico, and ten near-international countries, such as Mexico, Jamaica, The Bahamas, Aruba, Dominican Republic, Costa Rica, Belize, Cuba, the Cayman Islands, and Turks and Caicos.</v>
    <v>64123</v>
    <v>New York Stock Exchange</v>
    <v>XNYS</v>
    <v>XNYS</v>
    <v>PO Box 36611, 2702 Love Field Dr, DALLAS, TX, 75235 US</v>
    <v>36.615000000000002</v>
    <v>Passenger Transportation Services</v>
    <v>Stock</v>
    <v>44917.73713787031</v>
    <v>941</v>
    <v>35.293300000000002</v>
    <v>20956476840</v>
    <v>SOUTHWEST AIRLINES CO.</v>
    <v>SOUTHWEST AIRLINES CO.</v>
    <v>36.479999999999997</v>
    <v>28.751899999999999</v>
    <v>36.6</v>
    <v>35.295000000000002</v>
    <v>593752000</v>
    <v>LUV</v>
    <v>SOUTHWEST AIRLINES CO. (XNYS:LUV)</v>
    <v>1538076</v>
    <v>4874941</v>
    <v>1967</v>
  </rv>
  <rv s="2">
    <v>942</v>
  </rv>
  <rv s="0">
    <v>https://www.bing.com/financeapi/forcetrigger?t=a1np4c&amp;q=XNYS%3aARE&amp;form=skydnc</v>
    <v>Learn more on Bing</v>
  </rv>
  <rv s="1">
    <v>en-US</v>
    <v>a1np4c</v>
    <v>268435456</v>
    <v>1</v>
    <v>Powered by Refinitiv</v>
    <v>0</v>
    <v>ALEXANDRIA REAL ESTATE EQUITIES, INC. (XNYS:ARE)</v>
    <v>2</v>
    <v>3</v>
    <v>Finance</v>
    <v>4</v>
    <v>224.95</v>
    <v>126.74</v>
    <v>0.93120000000000003</v>
    <v>-2.585</v>
    <v>-1.7597999999999999E-2</v>
    <v>USD</v>
    <v>Alexandria Real Estate Equities, Inc. is a real estate investment trust (REIT). The Company owns, operates, develops and is focused on collaborative life science, agtech, and technology campuses in various cluster locations. It develops urban cluster campuses and ecosystems. Its properties are primarily located in various locations, including Greater Boston, the San Francisco Bay Area, New York City, San Diego, Seattle, Maryland, and Research Triangle. It has approximately 414 properties in North America containing approximately 43.7 million rentable square feet (RSF) of operating properties and development and redevelopment of new Class A properties (under construction), including 54 properties that are held by consolidated real estate joint ventures and four properties that are held by unconsolidated real estate joint ventures. Its properties include 601, 611, and 651 Gateway Boulevard; Alexandria Center for Life Science-Durham; 275 Grove Street; SD Tech by Alexandria, and Other.</v>
    <v>559</v>
    <v>New York Stock Exchange</v>
    <v>XNYS</v>
    <v>XNYS</v>
    <v>26 North Euclid Avenue, PASADENA, CA, 91101 US</v>
    <v>146.215</v>
    <v>Residential &amp; Commercial REIT</v>
    <v>Stock</v>
    <v>44917.737042140623</v>
    <v>944</v>
    <v>144.30500000000001</v>
    <v>23678617826</v>
    <v>ALEXANDRIA REAL ESTATE EQUITIES, INC.</v>
    <v>ALEXANDRIA REAL ESTATE EQUITIES, INC.</v>
    <v>145.72</v>
    <v>44.316299999999998</v>
    <v>146.88999999999999</v>
    <v>144.30500000000001</v>
    <v>164087300</v>
    <v>ARE</v>
    <v>ALEXANDRIA REAL ESTATE EQUITIES, INC. (XNYS:ARE)</v>
    <v>128480</v>
    <v>790594</v>
    <v>1994</v>
  </rv>
  <rv s="2">
    <v>945</v>
  </rv>
  <rv s="0">
    <v>https://www.bing.com/financeapi/forcetrigger?t=a214vh&amp;q=XNYS%3aPPL&amp;form=skydnc</v>
    <v>Learn more on Bing</v>
  </rv>
  <rv s="1">
    <v>en-US</v>
    <v>a214vh</v>
    <v>268435456</v>
    <v>1</v>
    <v>Powered by Refinitiv</v>
    <v>0</v>
    <v>PPL CORPORATION (XNYS:PPL)</v>
    <v>2</v>
    <v>3</v>
    <v>Finance</v>
    <v>4</v>
    <v>30.99</v>
    <v>23.465</v>
    <v>0.80549999999999999</v>
    <v>-0.52</v>
    <v>-1.7686999999999998E-2</v>
    <v>USD</v>
    <v>PPL Corporation (PPL) is a utility holding company. The Company, through its subsidiaries, is primarily engaged in the generation, transmission, distribution and sale of electricity and the distribution and sale of natural gas. The Company operates through Kentucky Regulated Segment and Pennsylvania Regulated Segment. The Kentucky Regulated segment consists primarily of the regulated electricity generation, transmission and distribution operations conducted by Louisville Gas and Electric Company and Kentucky Utilities Company (LG&amp;E and KU), as well as LG&amp;E's regulated distribution and sale of natural gas. The Pennsylvania Regulated segment consists of PPL Electric Utilities Corporation (PPL Electric), which is a regulated public utility engaged in the distribution and transmission of electricity. PPL Electric delivers electricity to customers in counties within eastern and central Pennsylvania. The Company also provides electricity to retail customers.</v>
    <v>5607</v>
    <v>New York Stock Exchange</v>
    <v>XNYS</v>
    <v>XNYS</v>
    <v>Two N Ninth St, ALLENTOWN, PA, 18101-1179 US</v>
    <v>29.315000000000001</v>
    <v>Multiline Utilities</v>
    <v>Stock</v>
    <v>44917.737122488281</v>
    <v>947</v>
    <v>28.86</v>
    <v>21264872504</v>
    <v>PPL CORPORATION</v>
    <v>PPL CORPORATION</v>
    <v>29.315000000000001</v>
    <v>30.658200000000001</v>
    <v>29.4</v>
    <v>28.88</v>
    <v>736318300</v>
    <v>PPL</v>
    <v>PPL CORPORATION (XNYS:PPL)</v>
    <v>1695985</v>
    <v>4580945</v>
    <v>1994</v>
  </rv>
  <rv s="2">
    <v>948</v>
  </rv>
  <rv s="0">
    <v>https://www.bing.com/financeapi/forcetrigger?t=a1qqbh&amp;q=XNYS%3aDAL&amp;form=skydnc</v>
    <v>Learn more on Bing</v>
  </rv>
  <rv s="1">
    <v>en-US</v>
    <v>a1qqbh</v>
    <v>268435456</v>
    <v>1</v>
    <v>Powered by Refinitiv</v>
    <v>0</v>
    <v>DELTA AIR LINES, INC. (XNYS:DAL)</v>
    <v>2</v>
    <v>3</v>
    <v>Finance</v>
    <v>4</v>
    <v>46.27</v>
    <v>27.2</v>
    <v>1.2060999999999999</v>
    <v>-1.325</v>
    <v>-3.9352999999999999E-2</v>
    <v>USD</v>
    <v>Delta Air Lines, Inc. provides scheduled air transportation for passengers and cargo throughout the United States and across the globe.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v>
    <v>83000</v>
    <v>New York Stock Exchange</v>
    <v>XNYS</v>
    <v>XNYS</v>
    <v>1030 DELTA BLVD, HARTSFIELD ATLANTA INTL AIRPORT, ATLANTA, GA, 30354-1989 US</v>
    <v>33.630000000000003</v>
    <v>Passenger Transportation Services</v>
    <v>Stock</v>
    <v>44917.737074941404</v>
    <v>950</v>
    <v>32.29</v>
    <v>20739238798</v>
    <v>DELTA AIR LINES, INC.</v>
    <v>DELTA AIR LINES, INC.</v>
    <v>33.6</v>
    <v>296.10410000000002</v>
    <v>33.67</v>
    <v>32.344999999999999</v>
    <v>641188400</v>
    <v>DAL</v>
    <v>DELTA AIR LINES, INC. (XNYS:DAL)</v>
    <v>3223179</v>
    <v>8497876</v>
    <v>1967</v>
  </rv>
  <rv s="2">
    <v>951</v>
  </rv>
  <rv s="0">
    <v>http://zh.wikipedia.org/wiki/味可美</v>
    <v>Wikipedia</v>
  </rv>
  <rv s="3">
    <v>3</v>
    <v>953</v>
  </rv>
  <rv s="4">
    <v>9</v>
    <v>https://www.bing.com/th?id=AMMS_8d96836a886471f7120ce0135f3ca8bd&amp;qlt=95</v>
    <v>954</v>
    <v>0</v>
    <v>https://www.bing.com/images/search?form=xlimg&amp;q=mccormick+%26+company</v>
    <v>Image of MCCORMICK &amp; COMPANY, INCORPORATED</v>
  </rv>
  <rv s="0">
    <v>https://www.bing.com/financeapi/forcetrigger?t=a1xoc7&amp;q=XNYS%3aMKC&amp;form=skydnc</v>
    <v>Learn more on Bing</v>
  </rv>
  <rv s="5">
    <v>en-US</v>
    <v>a1xoc7</v>
    <v>268435456</v>
    <v>1</v>
    <v>Powered by Refinitiv</v>
    <v>5</v>
    <v>MCCORMICK &amp; COMPANY, INCORPORATED (XNYS:MKC)</v>
    <v>7</v>
    <v>8</v>
    <v>Finance</v>
    <v>4</v>
    <v>107.35</v>
    <v>71.19</v>
    <v>0.6018</v>
    <v>-0.37</v>
    <v>-4.3920000000000001E-3</v>
    <v>USD</v>
    <v>McCormick &amp; Company, Incorporated is engaged in manufacturing, marketing and distributing spices, seasoning mixes, condiments and other flavorful products to the entire food industry retailers, food manufacturers and foodservice businesses. The Company operates through two business segments: Consumer and Flavor Solutions. In Consumer segment, it sells its products under the McCormick brand and a variety of brands around the world, including French's, Frank's RedHot, Lawry’s, Zatarain’s, Simply Asia, Thai Kitchen, Ducros, Vahine, Cholula, Schwartz, Club House, Kamis, DaQiao, Drogheria &amp; Alimentari, Stubb's, OLD BAY and Gourmet Garden. In Flavor Solutions segment, the Company provides a range of products to multinational food manufacturers and foodservice customers. Its sales, distribution and production facilities are located in North America, Europe and China, and additional facilities are based in Australia, Central America, Thailand and South Africa.</v>
    <v>14000</v>
    <v>New York Stock Exchange</v>
    <v>XNYS</v>
    <v>XNYS</v>
    <v>24 Schilling Road, HUNT VALLEY, MD, 21031 US</v>
    <v>84.3125</v>
    <v>955</v>
    <v>Food &amp; Tobacco</v>
    <v>Stock</v>
    <v>44917.737055335157</v>
    <v>956</v>
    <v>83.69</v>
    <v>22553130000</v>
    <v>MCCORMICK &amp; COMPANY, INCORPORATED</v>
    <v>MCCORMICK &amp; COMPANY, INCORPORATED</v>
    <v>83.96</v>
    <v>32.881900000000002</v>
    <v>84.25</v>
    <v>83.88</v>
    <v>268207000</v>
    <v>MKC</v>
    <v>MCCORMICK &amp; COMPANY, INCORPORATED (XNYS:MKC)</v>
    <v>199148</v>
    <v>1255975</v>
    <v>1915</v>
  </rv>
  <rv s="2">
    <v>957</v>
  </rv>
  <rv s="0">
    <v>https://www.bing.com/financeapi/forcetrigger?t=a1tpyc&amp;q=XNYS%3aIR&amp;form=skydnc</v>
    <v>Learn more on Bing</v>
  </rv>
  <rv s="1">
    <v>en-US</v>
    <v>a1tpyc</v>
    <v>268435456</v>
    <v>1</v>
    <v>Powered by Refinitiv</v>
    <v>0</v>
    <v>INGERSOLL RAND INC. (XNYS:IR)</v>
    <v>2</v>
    <v>3</v>
    <v>Finance</v>
    <v>4</v>
    <v>62.64</v>
    <v>39.284999999999997</v>
    <v>1.4394</v>
    <v>-1.63</v>
    <v>-3.0918000000000001E-2</v>
    <v>USD</v>
    <v>Ingersoll Rand Inc. is a diversified, global provider of mission-critical flow creation products and industrial solutions. The Company offers air, fluid, energy and medical technologies, which provide services and solutions to increase industrial productivity and efficiency. It manufactures a range of compressor, pump, vacuum and blower products. It operates through two segments. Industrial Technologies and Services segment designs, manufactures, markets and services a range of air and gas compression, vacuum and blower products, fluid transfer equipment, loading systems, power tools and lifting equipment, including associated aftermarket parts, consumables and services. Precision and Science Technologies segment designs, manufactures and markets a range of pumps, fluid management systems, accessories and aftermarket parts, which provides liquid and gas dosing, transfer, dispensing, compression, sampling, pressure management and flow control in specialized or critical applications.</v>
    <v>16000</v>
    <v>New York Stock Exchange</v>
    <v>XNYS</v>
    <v>XNYS</v>
    <v>525 HARBOUR PLACE DRIVE, SUITE 600, DAVIDSON, NC, 28036 US</v>
    <v>52.384999999999998</v>
    <v>Machinery, Equipment &amp; Components</v>
    <v>Stock</v>
    <v>44917.737057128907</v>
    <v>959</v>
    <v>51.075000000000003</v>
    <v>20687659122</v>
    <v>INGERSOLL RAND INC.</v>
    <v>INGERSOLL RAND INC.</v>
    <v>52.384999999999998</v>
    <v>39.408900000000003</v>
    <v>52.72</v>
    <v>51.09</v>
    <v>404925800</v>
    <v>IR</v>
    <v>INGERSOLL RAND INC. (XNYS:IR)</v>
    <v>333024</v>
    <v>2521970</v>
    <v>2013</v>
  </rv>
  <rv s="2">
    <v>960</v>
  </rv>
  <rv s="0">
    <v>https://www.bing.com/financeapi/forcetrigger?t=a1xp2w&amp;q=XNYS%3aMLM&amp;form=skydnc</v>
    <v>Learn more on Bing</v>
  </rv>
  <rv s="1">
    <v>en-US</v>
    <v>a1xp2w</v>
    <v>268435456</v>
    <v>1</v>
    <v>Powered by Refinitiv</v>
    <v>0</v>
    <v>MARTIN MARIETTA MATERIALS, INC. (XNYS:MLM)</v>
    <v>2</v>
    <v>3</v>
    <v>Finance</v>
    <v>4</v>
    <v>446.46</v>
    <v>284.99</v>
    <v>0.88070000000000004</v>
    <v>-8.2799999999999994</v>
    <v>-2.4201E-2</v>
    <v>USD</v>
    <v>Martin Marietta Materials, Inc. is a natural resource-based building materials company. The Company supplies aggregates (crushed stone, sand and gravel) through its network of approximately 350 quarries, mines and distribution yards in 28 states, Canada and The Bahamas. It also provides cement and downstream products, namely, asphalt and paving services, in markets that are naturally vertically integrated. The Company conducts its Building Materials business through two segments, such as East Group and West Group. The East Group provides aggregates and asphalt products only. The West Group provides aggregates, cement, and downstream products. The Company also operates a Magnesia Specialties business, which produces magnesia-based chemical products that are used in industrial, agricultural and environmental applications. Its heavy-side building materials are used in environmental, infrastructure, agricultural, nonresidential, residential construction projects and specialty applications.</v>
    <v>10000</v>
    <v>New York Stock Exchange</v>
    <v>XNYS</v>
    <v>XNYS</v>
    <v>4123 PARKLAKE AVE, RALEIGH, NC, 27612 US</v>
    <v>339.93</v>
    <v>Construction Materials</v>
    <v>Stock</v>
    <v>44917.737005497656</v>
    <v>962</v>
    <v>333.7</v>
    <v>20728976856</v>
    <v>MARTIN MARIETTA MATERIALS, INC.</v>
    <v>MARTIN MARIETTA MATERIALS, INC.</v>
    <v>338.5</v>
    <v>25.928000000000001</v>
    <v>342.13</v>
    <v>333.85</v>
    <v>62090690</v>
    <v>MLM</v>
    <v>MARTIN MARIETTA MATERIALS, INC. (XNYS:MLM)</v>
    <v>92320</v>
    <v>358739</v>
    <v>1993</v>
  </rv>
  <rv s="2">
    <v>963</v>
  </rv>
  <rv s="0">
    <v>https://www.bing.com/financeapi/forcetrigger?t=a1p58m&amp;q=XNYS%3aCAH&amp;form=skydnc</v>
    <v>Learn more on Bing</v>
  </rv>
  <rv s="1">
    <v>en-US</v>
    <v>a1p58m</v>
    <v>268435456</v>
    <v>1</v>
    <v>Powered by Refinitiv</v>
    <v>0</v>
    <v>CARDINAL HEALTH, INC. (XNYS:CAH)</v>
    <v>2</v>
    <v>3</v>
    <v>Finance</v>
    <v>4</v>
    <v>81.569999999999993</v>
    <v>48.42</v>
    <v>0.81459999999999999</v>
    <v>0.15</v>
    <v>1.8749999999999999E-3</v>
    <v>USD</v>
    <v>Cardinal Health, Inc. is a globally integrated healthcare services and products company. The Company is focused on providing customized solutions for hospitals, healthcare systems, pharmacies, ambulatory surgery centers, clinical laboratories, physician offices and patients in the home. The Company also provides pharmaceuticals and medical products and solutions. The Company's segments include Pharmaceutical and Medical. The Pharmaceutical segment distributes branded and generic pharmaceutical, specialty pharmaceutical and over-the-counter healthcare and consumer products in the United States. The Medical segment manufactures, sources and distributes Cardinal Health branded medical, surgical and laboratory products, which are sold in the United States, Canada, Europe, Asia and other markets. The Company connects patients, providers, payers, pharmacists and manufacturers for integrated care coordination and patient management.</v>
    <v>46500</v>
    <v>New York Stock Exchange</v>
    <v>XNYS</v>
    <v>XNYS</v>
    <v>7000 Cardinal Pl, DUBLIN, OH, 43017 US</v>
    <v>80.900000000000006</v>
    <v>Pharmaceuticals</v>
    <v>Stock</v>
    <v>44917.737085798435</v>
    <v>965</v>
    <v>79.84</v>
    <v>20970720000</v>
    <v>CARDINAL HEALTH, INC.</v>
    <v>CARDINAL HEALTH, INC.</v>
    <v>79.95</v>
    <v>31.646599999999999</v>
    <v>80</v>
    <v>80.150000000000006</v>
    <v>262134100</v>
    <v>CAH</v>
    <v>CARDINAL HEALTH, INC. (XNYS:CAH)</v>
    <v>690974</v>
    <v>3019891</v>
    <v>1979</v>
  </rv>
  <rv s="2">
    <v>966</v>
  </rv>
  <rv s="0">
    <v>https://www.bing.com/financeapi/forcetrigger?t=a1ww5r&amp;q=XNYS%3aLH&amp;form=skydnc</v>
    <v>Learn more on Bing</v>
  </rv>
  <rv s="1">
    <v>en-US</v>
    <v>a1ww5r</v>
    <v>268435456</v>
    <v>1</v>
    <v>Powered by Refinitiv</v>
    <v>0</v>
    <v>LABORATORY CORPORATION OF AMERICA HOLDINGS (XNYS:LH)</v>
    <v>2</v>
    <v>3</v>
    <v>Finance</v>
    <v>4</v>
    <v>317.17</v>
    <v>200.32</v>
    <v>1.0670999999999999</v>
    <v>-2.44</v>
    <v>-1.052E-2</v>
    <v>USD</v>
    <v>Laboratory Corporation of America Holdings is a global life sciences company. The Company provides information to help doctors, hospitals, pharmaceutical companies, researchers, and patients make decisions. Its segments include Labcorp Diagnostics (Dx) and Labcorp Drug Development (DD). The Dx segment is an independent clinical laboratory business. It offers a menu of frequently requested and specialty diagnostic tests through an integrated network of primary and specialty laboratories across the United States. In addition to diagnostic testing along with occupational and wellness testing for employers and forensic DNA analysis, Dx segment also offers a range of other testing services. The DD segment is a contract research organizations (CRO) business that provides end-to-end drug development services. The DD segment provides these services predominantly to pharmaceutical, biotechnology and medical device companies across the world. It serves clients in more than 100 countries.</v>
    <v>75500</v>
    <v>New York Stock Exchange</v>
    <v>XNYS</v>
    <v>XNYS</v>
    <v>358 S MAIN ST, BURLINGTON, NC, 27215-5837 US</v>
    <v>231.59</v>
    <v>Healthcare Providers &amp; Services</v>
    <v>Stock</v>
    <v>44917.737039872656</v>
    <v>968</v>
    <v>229.3801</v>
    <v>20332814000</v>
    <v>LABORATORY CORPORATION OF AMERICA HOLDINGS</v>
    <v>LABORATORY CORPORATION OF AMERICA HOLDINGS</v>
    <v>230.65</v>
    <v>12.3825</v>
    <v>231.93</v>
    <v>229.49</v>
    <v>88600000</v>
    <v>LH</v>
    <v>LABORATORY CORPORATION OF AMERICA HOLDINGS (XNYS:LH)</v>
    <v>164995</v>
    <v>762633</v>
    <v>1994</v>
  </rv>
  <rv s="2">
    <v>969</v>
  </rv>
  <rv s="0">
    <v>https://www.bing.com/financeapi/forcetrigger?t=a1x8c7&amp;q=XNYS%3aLYB&amp;form=skydnc</v>
    <v>Learn more on Bing</v>
  </rv>
  <rv s="1">
    <v>en-US</v>
    <v>a1x8c7</v>
    <v>268435456</v>
    <v>1</v>
    <v>Powered by Refinitiv</v>
    <v>0</v>
    <v>LyondellBasell Industries NV (XNYS:LYB)</v>
    <v>2</v>
    <v>3</v>
    <v>Finance</v>
    <v>4</v>
    <v>112.53</v>
    <v>71.459999999999994</v>
    <v>1.2110000000000001</v>
    <v>-2.12</v>
    <v>-2.5758999999999997E-2</v>
    <v>USD</v>
    <v>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v>
    <v>19100</v>
    <v>New York Stock Exchange</v>
    <v>XNYS</v>
    <v>XNYS</v>
    <v>4th Floor, One Vine Street, LONDON, UNITED KINGDOM-NA, W1J0AH GB</v>
    <v>81.97</v>
    <v>Chemicals</v>
    <v>Stock</v>
    <v>44917.737123657032</v>
    <v>971</v>
    <v>80.16</v>
    <v>26108564392</v>
    <v>LyondellBasell Industries NV</v>
    <v>LyondellBasell Industries NV</v>
    <v>81.825000000000003</v>
    <v>6.3625999999999996</v>
    <v>82.3</v>
    <v>80.180000000000007</v>
    <v>325624400</v>
    <v>LYB</v>
    <v>LyondellBasell Industries NV (XNYS:LYB)</v>
    <v>372117</v>
    <v>1955222</v>
    <v>2009</v>
  </rv>
  <rv s="2">
    <v>972</v>
  </rv>
  <rv s="0">
    <v>http://de.wikipedia.org/wiki/Ansys_(Software)</v>
    <v>Wikipedia</v>
  </rv>
  <rv s="3">
    <v>3</v>
    <v>974</v>
  </rv>
  <rv s="4">
    <v>9</v>
    <v>https://www.bing.com/th?id=AMMS_f3897dd33ba834ff757faa162430cee7&amp;qlt=95</v>
    <v>975</v>
    <v>0</v>
    <v>https://www.bing.com/images/search?form=xlimg&amp;q=ansys</v>
    <v>Image of ANSYS, INC.</v>
  </rv>
  <rv s="0">
    <v>https://www.bing.com/financeapi/forcetrigger?t=a1njh7&amp;q=XNAS%3aANSS&amp;form=skydnc</v>
    <v>Learn more on Bing</v>
  </rv>
  <rv s="5">
    <v>en-US</v>
    <v>a1njh7</v>
    <v>268435456</v>
    <v>1</v>
    <v>Powered by Refinitiv</v>
    <v>5</v>
    <v>ANSYS, INC. (XNAS:ANSS)</v>
    <v>7</v>
    <v>8</v>
    <v>Finance</v>
    <v>4</v>
    <v>413.22</v>
    <v>194.23</v>
    <v>1.2639</v>
    <v>-9.26</v>
    <v>-3.8281999999999997E-2</v>
    <v>USD</v>
    <v>ANSYS, Inc. is engaged in developing and marketing engineering simulation software and services used by engineers, designers, researchers and students across a spectrum of industries and academia. The Company is focused on developing open and flexible solutions that enable users to analyze designs directly on the desktop. Its product portfolio consists ANSYS Workbench, Structures, Fluids, Electronics, Semiconductors, Multiphysics, Embedded Software, Systems, Three-Dimensional (3D) Design, and Optical. Its structural analysis product offers simulation tools for product design and optimization. Its Fluids product suite enables modeling of fluid flow and other related physical phenomena. The Company provides field simulation software for designing electronic and electromechanical products. Its SCADE product suite is a solution for embedded software simulation, code production and automated certification. The Company's 3-D direct modeling technology provides a CAD-neutral environment.</v>
    <v>5100</v>
    <v>Nasdaq Stock Market</v>
    <v>XNAS</v>
    <v>XNAS</v>
    <v>2600 Ansys Drive, Southpointe, CANONSBURG, PA, 15317 US</v>
    <v>237.82</v>
    <v>976</v>
    <v>Software &amp; IT Services</v>
    <v>Stock</v>
    <v>44917.737109270311</v>
    <v>977</v>
    <v>232.63</v>
    <v>20264918064</v>
    <v>ANSYS, INC.</v>
    <v>ANSYS, INC.</v>
    <v>237.37</v>
    <v>45.282200000000003</v>
    <v>241.89</v>
    <v>232.63</v>
    <v>87112230</v>
    <v>ANSS</v>
    <v>ANSYS, INC. (XNAS:ANSS)</v>
    <v>117093</v>
    <v>496051</v>
    <v>1994</v>
  </rv>
  <rv s="2">
    <v>978</v>
  </rv>
  <rv s="0">
    <v>http://zh.wikipedia.org/wiki/OMX</v>
    <v>Wikipedia</v>
  </rv>
  <rv s="3">
    <v>3</v>
    <v>980</v>
  </rv>
  <rv s="4">
    <v>9</v>
    <v>https://www.bing.com/th?id=AMMS_ca29f5ea4bb769bc6f9c17b9fef790ab&amp;qlt=95</v>
    <v>981</v>
    <v>0</v>
    <v>https://www.bing.com/images/search?form=xlimg&amp;q=nasdaq+omx+group</v>
    <v>Image of Nasdaq, Inc.</v>
  </rv>
  <rv s="0">
    <v>https://www.bing.com/financeapi/forcetrigger?t=a1ydc7&amp;q=XNAS%3aNDAQ&amp;form=skydnc</v>
    <v>Learn more on Bing</v>
  </rv>
  <rv s="5">
    <v>en-US</v>
    <v>a1ydc7</v>
    <v>268435456</v>
    <v>1</v>
    <v>Powered by Refinitiv</v>
    <v>5</v>
    <v>Nasdaq, Inc. (XNAS:NDAQ)</v>
    <v>7</v>
    <v>8</v>
    <v>Finance</v>
    <v>4</v>
    <v>70.551599999999993</v>
    <v>46.77</v>
    <v>0.97170000000000001</v>
    <v>-1.21</v>
    <v>-1.9672000000000002E-2</v>
    <v>USD</v>
    <v>Nasdaq, Inc. is a global technology company. The Company manages, operates, and provides its products and services in four business segments, including Market Technology, Investment Intelligence, Corporate Platforms, and Market Services. Its Market Technology segment is a global technology solutions provider and partner to exchanges, clearing organizations, central securities depositories, regulators, banks, brokers, buy-side firms, and corporate businesses. The Investment Intelligence segment includes its market data, index, and analytics businesses. The Corporate Platforms segment includes its listing services, and investor relations and environmental, social and governance (IR &amp; ESG) services businesses. The Market Services segment includes its equity derivative trading and clearing, cash equity trading, fixed income and commodities trading and clearing (FICC) and trade management services businesses. It provides broker services, clearing, settlement and central depository services.</v>
    <v>6300</v>
    <v>Nasdaq Stock Market</v>
    <v>XNAS</v>
    <v>XNAS</v>
    <v>151 W. 42ND STREET, NEW YORK, NY, 10036 US</v>
    <v>61.14</v>
    <v>982</v>
    <v>Investment Banking &amp; Investment Services</v>
    <v>Stock</v>
    <v>44917.737078159378</v>
    <v>983</v>
    <v>60.29</v>
    <v>29624153850</v>
    <v>Nasdaq, Inc.</v>
    <v>Nasdaq, Inc.</v>
    <v>61.14</v>
    <v>26.915299999999998</v>
    <v>61.51</v>
    <v>60.3</v>
    <v>491279500</v>
    <v>NDAQ</v>
    <v>Nasdaq, Inc. (XNAS:NDAQ)</v>
    <v>500463</v>
    <v>2196977</v>
    <v>1979</v>
  </rv>
  <rv s="2">
    <v>984</v>
  </rv>
  <rv s="0">
    <v>https://www.bing.com/financeapi/forcetrigger?t=a25par&amp;q=XNYS%3aWAT&amp;form=skydnc</v>
    <v>Learn more on Bing</v>
  </rv>
  <rv s="1">
    <v>en-US</v>
    <v>a25par</v>
    <v>268435456</v>
    <v>1</v>
    <v>Powered by Refinitiv</v>
    <v>0</v>
    <v>WATERS CORPORATION (XNYS:WAT)</v>
    <v>2</v>
    <v>3</v>
    <v>Finance</v>
    <v>4</v>
    <v>375.24</v>
    <v>265.60500000000002</v>
    <v>0.91379999999999995</v>
    <v>-5.36</v>
    <v>-1.5456000000000001E-2</v>
    <v>USD</v>
    <v>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designs, manufactures, sells and services thermal analysis, rheometry and calorimetry instruments. The Company's LC and LC-MS instruments are utilized in a range of industries to detect, identify, monitor and measure the chemical, physical and biological composition of materials, and to purify compounds.</v>
    <v>7800</v>
    <v>New York Stock Exchange</v>
    <v>XNYS</v>
    <v>XNYS</v>
    <v>34 MAPLE ST, MILFORD, MA, 01757-3604 US</v>
    <v>344.66</v>
    <v>Healthcare Equipment &amp; Supplies</v>
    <v>Stock</v>
    <v>44917.736909154686</v>
    <v>986</v>
    <v>340.57</v>
    <v>20282935963</v>
    <v>WATERS CORPORATION</v>
    <v>WATERS CORPORATION</v>
    <v>340.57</v>
    <v>30.243600000000001</v>
    <v>346.78</v>
    <v>341.42</v>
    <v>59407580</v>
    <v>WAT</v>
    <v>WATERS CORPORATION (XNYS:WAT)</v>
    <v>50981</v>
    <v>334238</v>
    <v>1991</v>
  </rv>
  <rv s="2">
    <v>987</v>
  </rv>
  <rv s="0">
    <v>https://www.bing.com/financeapi/forcetrigger?t=a22227&amp;q=XNYS%3aRJF&amp;form=skydnc</v>
    <v>Learn more on Bing</v>
  </rv>
  <rv s="1">
    <v>en-US</v>
    <v>a22227</v>
    <v>268435456</v>
    <v>1</v>
    <v>Powered by Refinitiv</v>
    <v>0</v>
    <v>RAYMOND JAMES FINANCIAL, INC. (XNYS:RJF)</v>
    <v>2</v>
    <v>3</v>
    <v>Finance</v>
    <v>4</v>
    <v>126</v>
    <v>84.86</v>
    <v>1.0733999999999999</v>
    <v>-2.25</v>
    <v>-2.1079000000000001E-2</v>
    <v>USD</v>
    <v>Raymond James Financial, Inc. is a financial holding company. The Company together with its subsidiaries, is engaged in various financial services activities, including providing investment management services to retail and institutional clients, merger &amp; acquisition and advisory services, the underwriting, distribution, trading and brokerage of equity and debt securities, and the sale of mutual funds and other investment products. It also provides corporate and retail banking services, and trust services. The Company operates through five segments: Private Client Group (PCG); Capital Markets; Asset Management; Raymond James Bank; and Other. Its loan portfolio into six loan portfolio segments: C&amp;I, commercial real estate (CRE), REIT, tax-exempt, residential mortgage, and SBL and other. PCG segment provides financial planning, investment advisory and securities transaction services. The Capital Markets segment conducts institutional sales, securities trading, equity research, others.</v>
    <v>17000</v>
    <v>New York Stock Exchange</v>
    <v>XNYS</v>
    <v>XNYS</v>
    <v>880 Carillon Pkwy, ST PETERSBURG, FL, 33716 US</v>
    <v>105.96</v>
    <v>Investment Banking &amp; Investment Services</v>
    <v>Stock</v>
    <v>44917.737101782033</v>
    <v>989</v>
    <v>104.49</v>
    <v>22471995564</v>
    <v>RAYMOND JAMES FINANCIAL, INC.</v>
    <v>RAYMOND JAMES FINANCIAL, INC.</v>
    <v>105.16</v>
    <v>15.2972</v>
    <v>106.74</v>
    <v>104.49</v>
    <v>215063600</v>
    <v>RJF</v>
    <v>RAYMOND JAMES FINANCIAL, INC. (XNYS:RJF)</v>
    <v>474552</v>
    <v>1325130</v>
    <v>1974</v>
  </rv>
  <rv s="2">
    <v>990</v>
  </rv>
  <rv s="0">
    <v>https://www.bing.com/financeapi/forcetrigger?t=a21gh7&amp;q=XNYS%3aPWR&amp;form=skydnc</v>
    <v>Learn more on Bing</v>
  </rv>
  <rv s="1">
    <v>en-US</v>
    <v>a21gh7</v>
    <v>268435456</v>
    <v>1</v>
    <v>Powered by Refinitiv</v>
    <v>0</v>
    <v>QUANTA SERVICES, INC. (XNYS:PWR)</v>
    <v>2</v>
    <v>3</v>
    <v>Finance</v>
    <v>4</v>
    <v>155</v>
    <v>93.91</v>
    <v>1.0983000000000001</v>
    <v>-3.28</v>
    <v>-2.2665999999999999E-2</v>
    <v>USD</v>
    <v>Quanta Services, Inc. is a provider of specialty contracting services, delivering infrastructure solutions for the electric and gas utility, communications, pipeline and energy industries in the United States, Canada, Australia and select other international markets. The Electric Power Infrastructure Solutions segment provides network solutions to customers in the electric power and other industries, which include design, procurement, repair and maintenance for electric power transmission. The Renewable Energy Infrastructure Solutions segment provides infrastructure solutions, including engineering, procurement, and repair and maintenance for renewable generation facilities, such as wind, solar, and hydropower generation facilities and battery storage facilities. Underground Utility and Infrastructure Solutions segment provides infrastructure solutions to customers involved in the development, transportation, distribution, storage and processing of natural gas, oil and other products.</v>
    <v>43700</v>
    <v>New York Stock Exchange</v>
    <v>XNYS</v>
    <v>XNYS</v>
    <v>2727 NORTH LOOP WEST, HOUSTON, TX, 77008-1044 US</v>
    <v>144.31</v>
    <v>Construction &amp; Engineering</v>
    <v>Stock</v>
    <v>44917.737089247654</v>
    <v>992</v>
    <v>141.43</v>
    <v>20210516716</v>
    <v>QUANTA SERVICES, INC.</v>
    <v>QUANTA SERVICES, INC.</v>
    <v>143.22</v>
    <v>49.407800000000002</v>
    <v>144.71</v>
    <v>141.43</v>
    <v>142901200</v>
    <v>PWR</v>
    <v>QUANTA SERVICES, INC. (XNYS:PWR)</v>
    <v>194303</v>
    <v>942119</v>
    <v>1997</v>
  </rv>
  <rv s="2">
    <v>993</v>
  </rv>
  <rv s="0">
    <v>https://www.bing.com/financeapi/forcetrigger?t=a1utqh&amp;q=XNYS%3aHPE&amp;form=skydnc</v>
    <v>Learn more on Bing</v>
  </rv>
  <rv s="1">
    <v>en-US</v>
    <v>a1utqh</v>
    <v>268435456</v>
    <v>1</v>
    <v>Powered by Refinitiv</v>
    <v>0</v>
    <v>HEWLETT PACKARD ENTERPRISE COMPANY (XNYS:HPE)</v>
    <v>2</v>
    <v>3</v>
    <v>Finance</v>
    <v>4</v>
    <v>17.760000000000002</v>
    <v>11.9</v>
    <v>1.2497</v>
    <v>-0.32500000000000001</v>
    <v>-2.0596E-2</v>
    <v>USD</v>
    <v>Hewlett Packard Enterprise Company (HPE) is a technology company focused on developing intelligent solutions that allow customers to capture, analyze, and act upon data from edge to cloud. The Company operates through six segments: Compute, High Performance Computing &amp; Artificial Intelligence (HPC &amp; AI), Storage, Intelligent Edge, Financial Services (FS), and Corporate Investments and Other. Its Compute segments includes both general purpose servers for multi-workload computing and workload-optimized servers to deliver performance and value for applications. Its HPC &amp; AI segment offers integrated systems comprised of software and hardware designed to address high-performance computing (HPC), artificial intelligence (AI), data analytics, and transaction processing workloads for customers globally. Intelligent Edge segment offers wired and wireless local area network (LAN), campus and data center switching, software-defined wide-area-network, network security, and associated services.</v>
    <v>60200</v>
    <v>New York Stock Exchange</v>
    <v>XNYS</v>
    <v>XNYS</v>
    <v>1701 E MOSSY OAKS ROAD, SPRING, TX, 77389 US</v>
    <v>15.67</v>
    <v>Computers, Phones &amp; Household Electronics</v>
    <v>Stock</v>
    <v>44917.737045289061</v>
    <v>995</v>
    <v>15.445</v>
    <v>19810481735</v>
    <v>HEWLETT PACKARD ENTERPRISE COMPANY</v>
    <v>HEWLETT PACKARD ENTERPRISE COMPANY</v>
    <v>15.62</v>
    <v>24.2956</v>
    <v>15.78</v>
    <v>15.455</v>
    <v>1281817000</v>
    <v>HPE</v>
    <v>HEWLETT PACKARD ENTERPRISE COMPANY (XNYS:HPE)</v>
    <v>5549191</v>
    <v>15011493</v>
    <v>2015</v>
  </rv>
  <rv s="2">
    <v>996</v>
  </rv>
  <rv s="0">
    <v>https://www.bing.com/financeapi/forcetrigger?t=a1ugim&amp;q=XNAS%3aHBAN&amp;form=skydnc</v>
    <v>Learn more on Bing</v>
  </rv>
  <rv s="1">
    <v>en-US</v>
    <v>a1ugim</v>
    <v>268435456</v>
    <v>1</v>
    <v>Powered by Refinitiv</v>
    <v>0</v>
    <v>HUNTINGTON BANCSHARES INCORPORATED (XNAS:HBAN)</v>
    <v>2</v>
    <v>3</v>
    <v>Finance</v>
    <v>4</v>
    <v>17.79</v>
    <v>11.67</v>
    <v>1.1544000000000001</v>
    <v>-0.315</v>
    <v>-2.2499999999999999E-2</v>
    <v>USD</v>
    <v>Huntington Bancshares Incorporated is a diversified regional bank holding company. Its segments include Commercial Banking, Consumer and Business Banking, Vehicle Finance, and Regional Banking and The Huntington Private Client Group (RBHPCG). The Commercial Banking segment provides a set of product offerings and capabilities to middle market, large corporate, specialized industries and government/public sector customers. The Consumer and Business Banking segment includes home lending, which provides an array of financial products and services to consumer and small business customers. The Vehicle Finance segment provides products and services that provide financing to consumers. The RBHPCG segment consists of private banking, wealth and investment management, and retirement plan services. It has over 1,092 full-service branches and private client group offices that are located in Ohio, Colorado, Illinois, Indiana, Kentucky, Michigan, Minnesota, Pennsylvania, West Virginia and Wisconsin.</v>
    <v>19997</v>
    <v>Nasdaq Stock Market</v>
    <v>XNAS</v>
    <v>XNAS</v>
    <v>41 South High Street, COLUMBUS, OH, 43287 US</v>
    <v>13.96</v>
    <v>Banking Services</v>
    <v>Stock</v>
    <v>44917.737105207816</v>
    <v>998</v>
    <v>13.68</v>
    <v>19743814790</v>
    <v>HUNTINGTON BANCSHARES INCORPORATED</v>
    <v>HUNTINGTON BANCSHARES INCORPORATED</v>
    <v>13.96</v>
    <v>10.927300000000001</v>
    <v>14</v>
    <v>13.685</v>
    <v>1442734000</v>
    <v>HBAN</v>
    <v>HUNTINGTON BANCSHARES INCORPORATED (XNAS:HBAN)</v>
    <v>3882532</v>
    <v>15691084</v>
    <v>1966</v>
  </rv>
  <rv s="2">
    <v>999</v>
  </rv>
  <rv s="0">
    <v>https://www.bing.com/financeapi/forcetrigger?t=axxc6h&amp;q=XNAS%3aPFG&amp;form=skydnc</v>
    <v>Learn more on Bing</v>
  </rv>
  <rv s="1">
    <v>en-US</v>
    <v>axxc6h</v>
    <v>268435456</v>
    <v>1</v>
    <v>Powered by Refinitiv</v>
    <v>0</v>
    <v>PRINCIPAL FINANCIAL GROUP, INC. (XNAS:PFG)</v>
    <v>2</v>
    <v>3</v>
    <v>Finance</v>
    <v>4</v>
    <v>96.17</v>
    <v>61.05</v>
    <v>1.2668999999999999</v>
    <v>-2</v>
    <v>-2.3195999999999998E-2</v>
    <v>USD</v>
    <v>Principal Financial Group, Inc. is engaged in global investment management offering businesses, individuals and institutional clients a range of financial products and services, including retirement, asset management and insurance through its diverse family of financial services companies. The Company operates through four segments. Retirement and Income Solutions operations into two business groupings: Retirement and Income Solutions-Fee and Retirement and Income Solutions-Spread. Its Principal Global Investors segment manages assets for sophisticated investors around the world using focused investment teams that provide diverse investment capabilities including equity, fixed income, real estate and other alternative investments. Its Principal International segment has operations in Latin America and Asia. Its U.S. Insurance Solutions segment offering include specialty benefits insurance and individual life insurance.</v>
    <v>18600</v>
    <v>Nasdaq Stock Market</v>
    <v>XNAS</v>
    <v>XNAS</v>
    <v>711 High St, DES MOINES, IA, 50392-0300 US</v>
    <v>85.78</v>
    <v>Investment Banking &amp; Investment Services</v>
    <v>Stock</v>
    <v>44917.737059548439</v>
    <v>1001</v>
    <v>84.2</v>
    <v>20607185416</v>
    <v>PRINCIPAL FINANCIAL GROUP, INC.</v>
    <v>PRINCIPAL FINANCIAL GROUP, INC.</v>
    <v>85.53</v>
    <v>4.1811999999999996</v>
    <v>86.22</v>
    <v>84.22</v>
    <v>244682800</v>
    <v>PFG</v>
    <v>PRINCIPAL FINANCIAL GROUP, INC. (XNAS:PFG)</v>
    <v>264048</v>
    <v>1732171</v>
    <v>2001</v>
  </rv>
  <rv s="2">
    <v>1002</v>
  </rv>
  <rv s="0">
    <v>https://www.bing.com/financeapi/forcetrigger?t=a1s4yc&amp;q=XNYS%3aEQR&amp;form=skydnc</v>
    <v>Learn more on Bing</v>
  </rv>
  <rv s="1">
    <v>en-US</v>
    <v>a1s4yc</v>
    <v>268435456</v>
    <v>1</v>
    <v>Powered by Refinitiv</v>
    <v>0</v>
    <v>EQUITY RESIDENTIAL (XNYS:EQR)</v>
    <v>2</v>
    <v>3</v>
    <v>Finance</v>
    <v>4</v>
    <v>94.32</v>
    <v>58.24</v>
    <v>0.79920000000000002</v>
    <v>-0.87</v>
    <v>-1.4718E-2</v>
    <v>USD</v>
    <v>Equity Residential is a real estate investment trust. The Company is focused on the acquisition, development and management of residential properties located in and around cities. The Company’s primary business is the acquisition, development and management of multifamily residential properties, which includes the generation of rental and other related income through the leasing of apartment units to residents. It owns and operates rental apartment properties in Boston, New York, Washington, D.C., Southern California, including Los Angeles, Orange County and San Diego, San Francisco and Seattle. The Company is also focused on expanding its operations in Denver, Atlanta, Dallas/Ft. Worth and Austin. The Company owns approximately 310 properties located in 10 states and the District of Columbia consisting of approximately 80,407 apartment units.</v>
    <v>2400</v>
    <v>New York Stock Exchange</v>
    <v>XNYS</v>
    <v>XNYS</v>
    <v>Equity Residential, Two North Riverside Plaza, Suite 400, CHICAGO, IL, 60606 US</v>
    <v>59.2</v>
    <v>Residential &amp; Commercial REIT</v>
    <v>Stock</v>
    <v>44917.737104814063</v>
    <v>1004</v>
    <v>58.24</v>
    <v>22009996736</v>
    <v>EQUITY RESIDENTIAL</v>
    <v>EQUITY RESIDENTIAL</v>
    <v>58.78</v>
    <v>19.314299999999999</v>
    <v>59.11</v>
    <v>58.24</v>
    <v>377918900</v>
    <v>EQR</v>
    <v>EQUITY RESIDENTIAL (XNYS:EQR)</v>
    <v>1148069</v>
    <v>2053727</v>
    <v>1992</v>
  </rv>
  <rv s="2">
    <v>1005</v>
  </rv>
  <rv s="0">
    <v>https://www.bing.com/financeapi/forcetrigger?t=a1q44c&amp;q=XNYS%3aCTRA&amp;form=skydnc</v>
    <v>Learn more on Bing</v>
  </rv>
  <rv s="1">
    <v>en-US</v>
    <v>a1q44c</v>
    <v>268435456</v>
    <v>1</v>
    <v>Powered by Refinitiv</v>
    <v>0</v>
    <v>Coterra Energy Inc. (XNYS:CTRA)</v>
    <v>2</v>
    <v>3</v>
    <v>Finance</v>
    <v>4</v>
    <v>36.549999999999997</v>
    <v>18.39</v>
    <v>0.23100000000000001</v>
    <v>-0.56499999999999995</v>
    <v>-2.2536999999999998E-2</v>
    <v>USD</v>
    <v>Coterra Energy Inc. is an independent oil and gas company, which is engaged in the development, exploration and production of oil, natural gas and natural gas liquids (NGLs). The Company’s assets are concentrated in areas with hydrocarbon resources. The Company’s operations are primarily concentrated in three operating areas: the Marcellus Shale in northeast Pennsylvania, the Permian Basin in west Texas and southeast New Mexico, and the Anadarko Basin in the Mid-Continent region in Oklahoma. Its Marcellus Shale properties are principally located in Susquehanna County, Pennsylvania, where the Company holds approximately 177,000 net acres in the dry gas window in the Marcellus Shale. Its Permian Basin properties are principally located in the western half of the Permian Basin, where it holds approximately 306,000 net acres in the play. Its Anadarko Basin properties are principally located in Oklahoma, where it holds approximately 182,000 net acres in the play.</v>
    <v>936</v>
    <v>New York Stock Exchange</v>
    <v>XNYS</v>
    <v>XNYS</v>
    <v>840 Gessner Rd Ste 1400, HOUSTON, TX, 77024 US</v>
    <v>25.15</v>
    <v>Oil &amp; Gas</v>
    <v>Stock</v>
    <v>44917.737001770314</v>
    <v>1007</v>
    <v>24.49</v>
    <v>19321391186</v>
    <v>Coterra Energy Inc.</v>
    <v>Coterra Energy Inc.</v>
    <v>25.07</v>
    <v>5.1010999999999997</v>
    <v>25.07</v>
    <v>24.504999999999999</v>
    <v>788467300</v>
    <v>CTRA</v>
    <v>Coterra Energy Inc. (XNYS:CTRA)</v>
    <v>4123818</v>
    <v>11031814</v>
    <v>1989</v>
  </rv>
  <rv s="2">
    <v>1008</v>
  </rv>
  <rv s="0">
    <v>https://www.bing.com/financeapi/forcetrigger?t=a26c9c&amp;q=XNYS%3aXYL&amp;form=skydnc</v>
    <v>Learn more on Bing</v>
  </rv>
  <rv s="1">
    <v>en-US</v>
    <v>a26c9c</v>
    <v>268435456</v>
    <v>1</v>
    <v>Powered by Refinitiv</v>
    <v>0</v>
    <v>XYLEM INC. (XNYS:XYL)</v>
    <v>2</v>
    <v>3</v>
    <v>Finance</v>
    <v>4</v>
    <v>121.05</v>
    <v>72.08</v>
    <v>1.0952999999999999</v>
    <v>-3.4649999999999999</v>
    <v>-3.1174E-2</v>
    <v>USD</v>
    <v>Xylem Inc. is a water technology company, which designs, manufactures and services engineered solutions across a range of critical applications in the water sector and energy. It is an equipment and service provider for water and wastewater applications with a portfolio of products and services addressing the cycle of water, from collection, distribution and use to the return of water to the environment. Its segments include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v>
    <v>17300</v>
    <v>New York Stock Exchange</v>
    <v>XNYS</v>
    <v>XNYS</v>
    <v>301 Water Street Se, WASHINGTON, DC, 20003 US</v>
    <v>110.07</v>
    <v>Machinery, Equipment &amp; Components</v>
    <v>Stock</v>
    <v>44917.73710371484</v>
    <v>1010</v>
    <v>107.67</v>
    <v>19407152227</v>
    <v>XYLEM INC.</v>
    <v>XYLEM INC.</v>
    <v>109.94</v>
    <v>63.077399999999997</v>
    <v>111.15</v>
    <v>107.685</v>
    <v>180221500</v>
    <v>XYL</v>
    <v>XYLEM INC. (XNYS:XYL)</v>
    <v>139864</v>
    <v>859665</v>
    <v>2011</v>
  </rv>
  <rv s="2">
    <v>1011</v>
  </rv>
  <rv s="0">
    <v>https://www.bing.com/financeapi/forcetrigger?t=a1r32w&amp;q=XNAS%3aWBD&amp;form=skydnc</v>
    <v>Learn more on Bing</v>
  </rv>
  <rv s="1">
    <v>en-US</v>
    <v>a1r32w</v>
    <v>268435456</v>
    <v>1</v>
    <v>Powered by Refinitiv</v>
    <v>0</v>
    <v>WARNER BROS. DISCOVERY, INC. (XNAS:WBD)</v>
    <v>2</v>
    <v>3</v>
    <v>Finance</v>
    <v>4</v>
    <v>31.55</v>
    <v>8.82</v>
    <v>1.3875</v>
    <v>-0.15970000000000001</v>
    <v>-1.7666000000000001E-2</v>
    <v>USD</v>
    <v>Warner Bros. Discovery, Inc., formerly Discovery, Inc., is a global media and entertainment company. The Company offers audiences the differentiated and complete portfolio of content, brands, and franchises across television, film, streaming, and gaming in approximately 220 countries and territories and 50 languages. The Company entertains audiences worldwide through its brands and products including Discovery Channel, discovery+, CNN, CNN+, DC, Eurosport, HBO, HBO Max, HGTV, Food Network, OWN, Investigation Discovery, TLC, TNT, TBS, truTV, Travel Channel, Magnolia Network, MotorTrend, Animal Planet, Science Channel, Warner Bros. Pictures, New Line Cinema, Cartoonito, Turner Classic Movies, Boomerang, OhK TV Asia, TABI Channel, Turner Sports, Tooncast, CNN Sans, Boing TV, Cooking Channel, TNT Rooster Teeth, CINEMAX GO, Bleacher Report, Cartoon Network, Adult Swim, Turner Classic vies and others.</v>
    <v>11000</v>
    <v>Nasdaq Stock Market</v>
    <v>XNAS</v>
    <v>XNAS</v>
    <v>230 PARK AVENUE SOUTH, NEW YORK, NY, 10003 US</v>
    <v>9.0299999999999994</v>
    <v>Media &amp; Publishing</v>
    <v>Stock</v>
    <v>44917.737109270311</v>
    <v>1013</v>
    <v>8.82</v>
    <v>21564884998</v>
    <v>WARNER BROS. DISCOVERY, INC.</v>
    <v>WARNER BROS. DISCOVERY, INC.</v>
    <v>8.9</v>
    <v>7.2262000000000004</v>
    <v>9.0399999999999991</v>
    <v>8.8803000000000001</v>
    <v>2428396000</v>
    <v>WBD</v>
    <v>WARNER BROS. DISCOVERY, INC. (XNAS:WBD)</v>
    <v>10823042</v>
    <v>30350593</v>
    <v>2008</v>
  </rv>
  <rv s="2">
    <v>1014</v>
  </rv>
  <rv s="0">
    <v>https://www.bing.com/financeapi/forcetrigger?t=a21wsm&amp;q=XNYS%3aRF&amp;form=skydnc</v>
    <v>Learn more on Bing</v>
  </rv>
  <rv s="1">
    <v>en-US</v>
    <v>a21wsm</v>
    <v>268435456</v>
    <v>1</v>
    <v>Powered by Refinitiv</v>
    <v>0</v>
    <v>REGIONS FINANCIAL CORPORATION (XNYS:RF)</v>
    <v>2</v>
    <v>3</v>
    <v>Finance</v>
    <v>4</v>
    <v>25.57</v>
    <v>18.010000000000002</v>
    <v>1.2478</v>
    <v>-0.44</v>
    <v>-2.0913000000000001E-2</v>
    <v>USD</v>
    <v>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v>
    <v>19950</v>
    <v>New York Stock Exchange</v>
    <v>XNYS</v>
    <v>XNYS</v>
    <v>1900 Fifth Avenue North, BIRMINGHAM, AL, 35203 US</v>
    <v>20.914999999999999</v>
    <v>Banking Services</v>
    <v>Stock</v>
    <v>44917.737113992967</v>
    <v>1016</v>
    <v>20.574999999999999</v>
    <v>19249579360</v>
    <v>REGIONS FINANCIAL CORPORATION</v>
    <v>REGIONS FINANCIAL CORPORATION</v>
    <v>20.89</v>
    <v>10.4885</v>
    <v>21.04</v>
    <v>20.6</v>
    <v>934445600</v>
    <v>RF</v>
    <v>REGIONS FINANCIAL CORPORATION (XNYS:RF)</v>
    <v>1993146</v>
    <v>7249589</v>
    <v>2004</v>
  </rv>
  <rv s="2">
    <v>1017</v>
  </rv>
  <rv s="0">
    <v>https://www.bing.com/financeapi/forcetrigger?t=a1pl8m&amp;q=XNYS%3aCHD&amp;form=skydnc</v>
    <v>Learn more on Bing</v>
  </rv>
  <rv s="1">
    <v>en-US</v>
    <v>a1pl8m</v>
    <v>268435456</v>
    <v>1</v>
    <v>Powered by Refinitiv</v>
    <v>0</v>
    <v>CHURCH &amp; DWIGHT CO., INC. (XNYS:CHD)</v>
    <v>2</v>
    <v>3</v>
    <v>Finance</v>
    <v>4</v>
    <v>105.28</v>
    <v>70.16</v>
    <v>0.44940000000000002</v>
    <v>-5.0000000000000001E-3</v>
    <v>-6.1740000000000002E-5</v>
    <v>USD</v>
    <v>Church &amp; Dwight Co., Inc. develops, manufactures and markets a range of consumer household and personal care products and specialty products focused on animal and food production, chemicals and cleaners. Its consumer products are focused principally on its 14 brands. It's segments include Consumer Domestic, Consumer International and the Specialty Products Division (SPD). Consumer Domestic segment is engaged in providing household and personal care products. Its household products include laundry, deodorizing, and cleaning products, and personal care products include condoms, pregnancy kits, oral care products, skin care products, hair care products and gummy dietary supplements. Consumer International segment markets a variety of personal care, household and over-the-counter products in international subsidiary markets. The SPD segment focuses on sales to businesses and participates in three product areas, animal and food production, specialty chemicals and specialty cleaners.</v>
    <v>5100</v>
    <v>New York Stock Exchange</v>
    <v>XNYS</v>
    <v>XNYS</v>
    <v>500 Charles Ewing Blvd, EWING, NJ, 08628-3448 US</v>
    <v>81.42</v>
    <v>Personal &amp; Household Products &amp; Services</v>
    <v>Stock</v>
    <v>44917.737086064066</v>
    <v>1019</v>
    <v>80.52</v>
    <v>19749674275</v>
    <v>CHURCH &amp; DWIGHT CO., INC.</v>
    <v>CHURCH &amp; DWIGHT CO., INC.</v>
    <v>80.7</v>
    <v>27.1401</v>
    <v>80.989999999999995</v>
    <v>80.984999999999999</v>
    <v>243868300</v>
    <v>CHD</v>
    <v>CHURCH &amp; DWIGHT CO., INC. (XNYS:CHD)</v>
    <v>383959</v>
    <v>1471055</v>
    <v>1925</v>
  </rv>
  <rv s="2">
    <v>1020</v>
  </rv>
  <rv s="0">
    <v>https://www.bing.com/financeapi/forcetrigger?t=a1sioc&amp;q=XNYS%3aEXR&amp;form=skydnc</v>
    <v>Learn more on Bing</v>
  </rv>
  <rv s="1">
    <v>en-US</v>
    <v>a1sioc</v>
    <v>268435456</v>
    <v>1</v>
    <v>Powered by Refinitiv</v>
    <v>0</v>
    <v>EXTRA SPACE STORAGE INC. (XNYS:EXR)</v>
    <v>2</v>
    <v>3</v>
    <v>Finance</v>
    <v>4</v>
    <v>228.83500000000001</v>
    <v>144</v>
    <v>0.52569999999999995</v>
    <v>-2.8</v>
    <v>-1.9051999999999999E-2</v>
    <v>USD</v>
    <v>Extra Space Storage Inc. is an integrated, self-administered and self-managed real estate investment trust (REIT). The Company owns, operates, manages, acquires, develops and redevelops self-storage properties, or stores. Its segments include self-storage operations and tenant reinsurance. Its self-storage operations activities include rental operations of wholly owned stores. Its tenant reinsurance activities include the reinsurance of risks relating to the loss of goods stored by tenants in its stores. The Company’s business is conducted through its operating partnership, Extra Space Storage LP (the Operating Partnership). It invests in stores by acquiring wholly owned stores or by acquiring an equity interest in real estate entities. The Company had direct and indirect equity interests in over 1,313 stores. In addition, the Company managed 864 stores for third parties. Its subsidiary Storage Express owns over 107 remote storage properties across Indiana, Ohio, Illinois and Kentucky.</v>
    <v>4309</v>
    <v>New York Stock Exchange</v>
    <v>XNYS</v>
    <v>XNYS</v>
    <v>2795 Cottonwood Parkway, Suite 400, SALT LAKE CITY, UT, 84121 US</v>
    <v>146.22999999999999</v>
    <v>Residential &amp; Commercial REIT</v>
    <v>Stock</v>
    <v>44917.737118460158</v>
    <v>1022</v>
    <v>144.16999999999999</v>
    <v>19682450000</v>
    <v>EXTRA SPACE STORAGE INC.</v>
    <v>EXTRA SPACE STORAGE INC.</v>
    <v>145.94</v>
    <v>21.339300000000001</v>
    <v>146.97</v>
    <v>144.16999999999999</v>
    <v>133921500</v>
    <v>EXR</v>
    <v>EXTRA SPACE STORAGE INC. (XNYS:EXR)</v>
    <v>182644</v>
    <v>1119528</v>
    <v>2004</v>
  </rv>
  <rv s="2">
    <v>1023</v>
  </rv>
  <rv s="0">
    <v>https://www.bing.com/financeapi/forcetrigger?t=a1s2fr&amp;q=XNYS%3aEPAM&amp;form=skydnc</v>
    <v>Learn more on Bing</v>
  </rv>
  <rv s="1">
    <v>en-US</v>
    <v>a1s2fr</v>
    <v>268435456</v>
    <v>1</v>
    <v>Powered by Refinitiv</v>
    <v>0</v>
    <v>EPAM SYSTEMS, INC. (XNYS:EPAM)</v>
    <v>2</v>
    <v>3</v>
    <v>Finance</v>
    <v>4</v>
    <v>699.12</v>
    <v>168.5925</v>
    <v>1.5813999999999999</v>
    <v>-18.62</v>
    <v>-5.4927999999999998E-2</v>
    <v>USD</v>
    <v>EPAM Systems, Inc. is a digital transformation services provider, which delivers end-to-end value to its customers. The Company provides services through software solutions, integrated advisory, business consulting and design. The Company maintains a group of testing and quality assurance professionals with experience across a range of technology platforms and industry verticals. This group performs software application testing, test management, automation and consulting services focused on helping customers improve their existing software testing and quality assurance practices. It has integrated consulting teams across business, experience, technology and data. The functional business is engaged in technology platforms and their interactions, as well as the application of data science and machine learning, to deliver insights into its customers’ business. Its digital and service design practice provides strategy, design, creative and program management services for customers.</v>
    <v>58824</v>
    <v>New York Stock Exchange</v>
    <v>XNYS</v>
    <v>XNYS</v>
    <v>SUITE 202, 41 UNIVERSITY DRIVE, NEWTOWN, PA, 18940 US</v>
    <v>332.65499999999997</v>
    <v>Software &amp; IT Services</v>
    <v>Stock</v>
    <v>44917.737041064065</v>
    <v>1025</v>
    <v>320</v>
    <v>18425596791</v>
    <v>EPAM SYSTEMS, INC.</v>
    <v>EPAM SYSTEMS, INC.</v>
    <v>331.52</v>
    <v>49.361899999999999</v>
    <v>338.99</v>
    <v>320.37</v>
    <v>57513490</v>
    <v>EPAM</v>
    <v>EPAM SYSTEMS, INC. (XNYS:EPAM)</v>
    <v>86454</v>
    <v>346305</v>
    <v>2002</v>
  </rv>
  <rv s="2">
    <v>1026</v>
  </rv>
  <rv s="0">
    <v>https://www.bing.com/financeapi/forcetrigger?t=a1xugh&amp;q=XNYS%3aMOH&amp;form=skydnc</v>
    <v>Learn more on Bing</v>
  </rv>
  <rv s="1">
    <v>en-US</v>
    <v>a1xugh</v>
    <v>268435456</v>
    <v>1</v>
    <v>Powered by Refinitiv</v>
    <v>0</v>
    <v>MOLINA HEALTHCARE, INC. (XNYS:MOH)</v>
    <v>2</v>
    <v>3</v>
    <v>Finance</v>
    <v>4</v>
    <v>374</v>
    <v>249.78</v>
    <v>0.76249999999999996</v>
    <v>0.09</v>
    <v>2.6959999999999999E-4</v>
    <v>USD</v>
    <v>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aged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v>
    <v>14000</v>
    <v>New York Stock Exchange</v>
    <v>XNYS</v>
    <v>XNYS</v>
    <v>200 Oceangate, Suite 100, LONG BEACH, CA, 90802 US</v>
    <v>336.32990000000001</v>
    <v>Healthcare Providers &amp; Services</v>
    <v>Stock</v>
    <v>44917.737103992971</v>
    <v>1028</v>
    <v>329.375</v>
    <v>19497424000</v>
    <v>MOLINA HEALTHCARE, INC.</v>
    <v>MOLINA HEALTHCARE, INC.</v>
    <v>334.05</v>
    <v>23.282499999999999</v>
    <v>333.77</v>
    <v>333.86</v>
    <v>58400000</v>
    <v>MOH</v>
    <v>MOLINA HEALTHCARE, INC. (XNYS:MOH)</v>
    <v>47365</v>
    <v>586862</v>
    <v>2002</v>
  </rv>
  <rv s="2">
    <v>1029</v>
  </rv>
  <rv s="0">
    <v>https://www.bing.com/financeapi/forcetrigger?t=a1r8ur&amp;q=XNYS%3aDOV&amp;form=skydnc</v>
    <v>Learn more on Bing</v>
  </rv>
  <rv s="1">
    <v>en-US</v>
    <v>a1r8ur</v>
    <v>268435456</v>
    <v>1</v>
    <v>Powered by Refinitiv</v>
    <v>0</v>
    <v>DOVER CORPORATION (XNYS:DOV)</v>
    <v>2</v>
    <v>3</v>
    <v>Finance</v>
    <v>4</v>
    <v>184.04499999999999</v>
    <v>114.49</v>
    <v>1.3496999999999999</v>
    <v>-2.72</v>
    <v>-2.0171000000000001E-2</v>
    <v>USD</v>
    <v>Dover Corporation is a diversified global manufacturer and solutions provider. It is focused on delivering equipment and components, consumable supplies, aftermarket parts, software and digital solutions and support services. Its operating segments include Engineered Products, Clean Energy &amp; Fueling, Imaging &amp; Identification, Pumps &amp; Process Solutions, and Climate &amp; Sustainability Technologies. The Engineered Products segment offers a range of products including, software and services. The Clean Energy &amp; Fueling segment provides components, equipment, and software and service solutions. The Imaging &amp; Identification segment supplies precision marking and coding, product traceability and digital textile printing equipment. Pumps &amp; Process Solutions segment manufactures specialty pumps, fluid connecting solutions, plastics and polymer processing equipment and engineered precision components. The Climate &amp; Sustainability Technologies segment provides energy-efficient equipment and systems.</v>
    <v>25000</v>
    <v>New York Stock Exchange</v>
    <v>XNYS</v>
    <v>XNYS</v>
    <v>SUITE 200, 3005 HIGHLAND PARKWAY, DOWNERS GROVE, IL, 60515 US</v>
    <v>134.28</v>
    <v>Machinery, Equipment &amp; Components</v>
    <v>Stock</v>
    <v>44917.736767464841</v>
    <v>1031</v>
    <v>132.08000000000001</v>
    <v>19357630000</v>
    <v>DOVER CORPORATION</v>
    <v>DOVER CORPORATION</v>
    <v>133.9</v>
    <v>16.7532</v>
    <v>134.85</v>
    <v>132.13</v>
    <v>143549300</v>
    <v>DOV</v>
    <v>DOVER CORPORATION (XNYS:DOV)</v>
    <v>247753</v>
    <v>876221</v>
    <v>1947</v>
  </rv>
  <rv s="2">
    <v>1032</v>
  </rv>
  <rv s="0">
    <v>https://www.bing.com/financeapi/forcetrigger?t=a25jqh&amp;q=XNAS%3aVRSN&amp;form=skydnc</v>
    <v>Learn more on Bing</v>
  </rv>
  <rv s="1">
    <v>en-US</v>
    <v>a25jqh</v>
    <v>268435456</v>
    <v>1</v>
    <v>Powered by Refinitiv</v>
    <v>0</v>
    <v>VERISIGN, INC. (XNAS:VRSN)</v>
    <v>2</v>
    <v>3</v>
    <v>Finance</v>
    <v>4</v>
    <v>257.02999999999997</v>
    <v>155.25</v>
    <v>0.96160000000000001</v>
    <v>-2.64</v>
    <v>-1.2889999999999999E-2</v>
    <v>USD</v>
    <v>VeriSign, Inc. is a global provider of domain name registry services and Internet infrastructure. The Company enables the security, stability, and resiliency of Internet infrastructure and services, including providing root zone maintainer services, operating two global Internet root servers, and providing registration services and authoritative resolution for the .com and .net top-level domains (TLDs), which support the majority of global e-commerce. It operates the authoritative directory of and/or the back-end systems for all .com, .net, .cc, .gov, .edu and .name domain names, among others. Its services allow individuals and organizations to establish their online identities, while providing the secure, always-on access they need to communicate and transact reliably with large-scale online audiences. The Company also provides internationalized domain name (IDN) services that enable Internet users to access domain names in characters representing their local language.</v>
    <v>904</v>
    <v>Nasdaq Stock Market</v>
    <v>XNAS</v>
    <v>XNAS</v>
    <v>ATTN: GENERAL COUNSEL, 12061 BLUEMONT WAY, RESTON, VA, 20190 US</v>
    <v>203.565</v>
    <v>Software &amp; IT Services</v>
    <v>Stock</v>
    <v>44917.736828217188</v>
    <v>1034</v>
    <v>201.7</v>
    <v>21713230000</v>
    <v>VERISIGN, INC.</v>
    <v>VERISIGN, INC.</v>
    <v>202.6</v>
    <v>27.235499999999998</v>
    <v>204.81</v>
    <v>202.17</v>
    <v>106016500</v>
    <v>VRSN</v>
    <v>VERISIGN, INC. (XNAS:VRSN)</v>
    <v>148795</v>
    <v>933206</v>
    <v>1995</v>
  </rv>
  <rv s="2">
    <v>1035</v>
  </rv>
  <rv s="0">
    <v>https://www.bing.com/financeapi/forcetrigger?t=a1q1tc&amp;q=XNYS%3aCNP&amp;form=skydnc</v>
    <v>Learn more on Bing</v>
  </rv>
  <rv s="1">
    <v>en-US</v>
    <v>a1q1tc</v>
    <v>268435456</v>
    <v>1</v>
    <v>Powered by Refinitiv</v>
    <v>0</v>
    <v>CENTERPOINT ENERGY, INC. (XNYS:CNP)</v>
    <v>2</v>
    <v>3</v>
    <v>Finance</v>
    <v>4</v>
    <v>33.5</v>
    <v>25.03</v>
    <v>0.86109999999999998</v>
    <v>-0.63</v>
    <v>-2.0635000000000001E-2</v>
    <v>USD</v>
    <v>CenterPoint Energy, Inc. is a public utility holding company. The Company, through its subsidiaries, owns and operates electric transmission, distribution and generation and natural gas distribution facilities, and provides energy performance contracting and sustainable infrastructure services. Its Electric segment consists of electric transmission and distribution services in the Texas Gulf Coast area and electric transmission and distribution services primarily to southwestern Indiana and includes power generation and wholesale power operations. Its Natural Gas segment consists of intrastate natural gas sales to, and natural gas transportation and distribution for residential, commercial, industrial and institutional customers in Arkansas, Indiana, Louisiana, Minnesota, Mississippi, Ohio, Oklahoma and Texas; permanent pipeline connections through interconnects with various interstate and intrastate pipeline companies through CenterPoint Energy Intrastate Pipelines, LLC (CEIP).</v>
    <v>9418</v>
    <v>New York Stock Exchange</v>
    <v>XNYS</v>
    <v>XNYS</v>
    <v>1111 Louisiana, HOUSTON, TX, 77002 US</v>
    <v>30.47</v>
    <v>Multiline Utilities</v>
    <v>Stock</v>
    <v>44917.737113529685</v>
    <v>1037</v>
    <v>29.895</v>
    <v>18823114440</v>
    <v>CENTERPOINT ENERGY, INC.</v>
    <v>CENTERPOINT ENERGY, INC.</v>
    <v>30.47</v>
    <v>21.1858</v>
    <v>30.53</v>
    <v>29.9</v>
    <v>629535600</v>
    <v>CNP</v>
    <v>CENTERPOINT ENERGY, INC. (XNYS:CNP)</v>
    <v>681275</v>
    <v>3374322</v>
    <v>2001</v>
  </rv>
  <rv s="2">
    <v>1038</v>
  </rv>
  <rv s="0">
    <v>https://www.bing.com/financeapi/forcetrigger?t=a1pj4c&amp;q=XNYS%3aCFG&amp;form=skydnc</v>
    <v>Learn more on Bing</v>
  </rv>
  <rv s="1">
    <v>en-US</v>
    <v>a1pj4c</v>
    <v>268435456</v>
    <v>1</v>
    <v>Powered by Refinitiv</v>
    <v>0</v>
    <v>CITIZENS FINANCIAL GROUP, INC. (XNYS:CFG)</v>
    <v>2</v>
    <v>3</v>
    <v>Finance</v>
    <v>4</v>
    <v>57</v>
    <v>32.655000000000001</v>
    <v>1.3524</v>
    <v>-0.7</v>
    <v>-1.8088E-2</v>
    <v>USD</v>
    <v>Citizens Financial Group, Inc. (Citizens) is a financial institution that offers a range of retail and commercial banking products and services to individuals, small businesses, middle-market companies, corporations and institutions. The Company’s segments include Consumer Banking and Commercial Banking. In Consumer Banking, Citizens provides an integrated service, including mobile and online banking, a 24/7 customer contact center and the convenience of approximately 3,300 ATMs and more than 1,200 branches in 14 states and the District of Columbia. Consumer Banking products and services include a range of banking,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equity capital markets, merger and acquisition.</v>
    <v>17463</v>
    <v>New York Stock Exchange</v>
    <v>XNYS</v>
    <v>XNYS</v>
    <v>1 CITIZENS PLAZA, PROVIDENCE, RI, 02903 US</v>
    <v>38.575000000000003</v>
    <v>Banking Services</v>
    <v>Stock</v>
    <v>44917.737102500003</v>
    <v>1040</v>
    <v>37.97</v>
    <v>18714658000</v>
    <v>CITIZENS FINANCIAL GROUP, INC.</v>
    <v>CITIZENS FINANCIAL GROUP, INC.</v>
    <v>38.340000000000003</v>
    <v>9.6791</v>
    <v>38.700000000000003</v>
    <v>38</v>
    <v>492491000</v>
    <v>CFG</v>
    <v>CITIZENS FINANCIAL GROUP, INC. (XNYS:CFG)</v>
    <v>1130582</v>
    <v>3758495</v>
    <v>1984</v>
  </rv>
  <rv s="2">
    <v>1041</v>
  </rv>
  <rv s="0">
    <v>https://www.bing.com/financeapi/forcetrigger?t=a1myk2&amp;q=XNYS%3aAES&amp;form=skydnc</v>
    <v>Learn more on Bing</v>
  </rv>
  <rv s="1">
    <v>en-US</v>
    <v>a1myk2</v>
    <v>268435456</v>
    <v>1</v>
    <v>Powered by Refinitiv</v>
    <v>0</v>
    <v>THE AES CORPORATION (XNYS:AES)</v>
    <v>2</v>
    <v>3</v>
    <v>Finance</v>
    <v>4</v>
    <v>29.89</v>
    <v>18.62</v>
    <v>0.9627</v>
    <v>-0.79500000000000004</v>
    <v>-2.7661999999999999E-2</v>
    <v>USD</v>
    <v>The AES Corporation is a global power company. The Company owns and/or operates a generation portfolio of about 31,459 megawatts (MW), including generation from its integrated utility, AES Indiana. Its generation fleet is diversified by fuel type. It is organized into four market-oriented strategic business units (SBUs): US and Utilities (United States, Puerto Rico and El Salvador); South America (Chile, Colombia, Argentina and Brazil); MCAC (Mexico, Central America and the Caribbean); and Eurasia (Europe and Asia). It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v>
    <v>8450</v>
    <v>New York Stock Exchange</v>
    <v>XNYS</v>
    <v>XNYS</v>
    <v>4300 Wilson Blvd, ARLINGTON, VA, 22203 US</v>
    <v>28.54</v>
    <v>Electrical Utilities &amp; IPPs</v>
    <v>Stock</v>
    <v>44917.737113564064</v>
    <v>1043</v>
    <v>27.91</v>
    <v>18665857161</v>
    <v>THE AES CORPORATION</v>
    <v>THE AES CORPORATION</v>
    <v>28.48</v>
    <v>0</v>
    <v>28.74</v>
    <v>27.945</v>
    <v>667949800</v>
    <v>AES</v>
    <v>THE AES CORPORATION (XNYS:AES)</v>
    <v>617563</v>
    <v>3686669</v>
    <v>1981</v>
  </rv>
  <rv s="2">
    <v>1044</v>
  </rv>
  <rv s="0">
    <v>https://www.bing.com/financeapi/forcetrigger?t=a1usr7&amp;q=XNAS%3aHOLX&amp;form=skydnc</v>
    <v>Learn more on Bing</v>
  </rv>
  <rv s="1">
    <v>en-US</v>
    <v>a1usr7</v>
    <v>268435456</v>
    <v>1</v>
    <v>Powered by Refinitiv</v>
    <v>0</v>
    <v>HOLOGIC, INC. (XNAS:HOLX)</v>
    <v>2</v>
    <v>3</v>
    <v>Finance</v>
    <v>4</v>
    <v>80.489999999999995</v>
    <v>59.78</v>
    <v>1.0051000000000001</v>
    <v>-1.39</v>
    <v>-1.8429999999999998E-2</v>
    <v>USD</v>
    <v>Hologic, Inc. is a developer, manufacturer and supplier of diagnostics products, medical imaging systems, and surgical products focused on women's health and well-being through early detection and treatment. The Company operates through four segments: Diagnostics, Breast Health, GYN Surgical and Skeletal Health. Its Diagnostics segment offers a range of diagnostics products, such as ThinPrep cytology system, and the Rapid Fetal Fibronectin Test. Its Breast Health segment offers a portfolio of solutions for breast cancer care, primarily in the areas of radiology, breast surgery, pathology and treatment. The GYN Surgical segment offers a range of products, such as NovaSure Endometrial Ablation System, MyoSure Hysteroscopic Tissue Removal System and Fluent Fluid Management system as well as its Acessa ProVu laparoscopic radiofrequency ablation system. The Skeletal Health segment offers products such as the Horizon DXA, a dual energy x-ray system, and the Fluoroscan Insight FD mini C-arm.</v>
    <v>6944</v>
    <v>Nasdaq Stock Market</v>
    <v>XNAS</v>
    <v>XNAS</v>
    <v>250 Campus Drive, MARLBOROUGH, MA, 1752 US</v>
    <v>75.045000000000002</v>
    <v>Healthcare Equipment &amp; Supplies</v>
    <v>Stock</v>
    <v>44917.736764085159</v>
    <v>1046</v>
    <v>74.027100000000004</v>
    <v>18199076214</v>
    <v>HOLOGIC, INC.</v>
    <v>HOLOGIC, INC.</v>
    <v>74.95</v>
    <v>14.734999999999999</v>
    <v>75.42</v>
    <v>74.03</v>
    <v>245833800</v>
    <v>HOLX</v>
    <v>HOLOGIC, INC. (XNAS:HOLX)</v>
    <v>196984</v>
    <v>1428296</v>
    <v>1990</v>
  </rv>
  <rv s="2">
    <v>1047</v>
  </rv>
  <rv s="0">
    <v>https://www.bing.com/financeapi/forcetrigger?t=a1pidm&amp;q=XNYS%3aCF&amp;form=skydnc</v>
    <v>Learn more on Bing</v>
  </rv>
  <rv s="1">
    <v>en-US</v>
    <v>a1pidm</v>
    <v>268435456</v>
    <v>1</v>
    <v>Powered by Refinitiv</v>
    <v>0</v>
    <v>CF INDUSTRIES HOLDINGS, INC. (XNYS:CF)</v>
    <v>2</v>
    <v>3</v>
    <v>Finance</v>
    <v>4</v>
    <v>119.59829999999999</v>
    <v>63.1</v>
    <v>1.0251999999999999</v>
    <v>-4.3650000000000002</v>
    <v>-4.6669999999999996E-2</v>
    <v>USD</v>
    <v>CF Industries Holdings, Inc. is a manufacturer of hydrogen and nitrogen products for clean energy, fertilizer, emissions abatement, and other industrial applications. The Company operates nitrogen manufacturing complexes in the United States, Canada and the United Kingdom. Its segments include ammonia, granular urea, UAN, AN and Other. The Company's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v>
    <v>3000</v>
    <v>New York Stock Exchange</v>
    <v>XNYS</v>
    <v>XNYS</v>
    <v>4 Parkway North, DEERFIELD, IL, 60015 US</v>
    <v>93.4</v>
    <v>Chemicals</v>
    <v>Stock</v>
    <v>44917.737028911717</v>
    <v>1049</v>
    <v>88.77</v>
    <v>17493236767</v>
    <v>CF INDUSTRIES HOLDINGS, INC.</v>
    <v>CF INDUSTRIES HOLDINGS, INC.</v>
    <v>93.4</v>
    <v>6.1397000000000004</v>
    <v>93.53</v>
    <v>89.165000000000006</v>
    <v>196189500</v>
    <v>CF</v>
    <v>CF INDUSTRIES HOLDINGS, INC. (XNYS:CF)</v>
    <v>1090466</v>
    <v>2468233</v>
    <v>2005</v>
  </rv>
  <rv s="2">
    <v>1050</v>
  </rv>
  <rv s="0">
    <v>https://www.bing.com/financeapi/forcetrigger?t=a243ec&amp;q=XNYS%3aTDY&amp;form=skydnc</v>
    <v>Learn more on Bing</v>
  </rv>
  <rv s="1">
    <v>en-US</v>
    <v>a243ec</v>
    <v>268435456</v>
    <v>1</v>
    <v>Powered by Refinitiv</v>
    <v>0</v>
    <v>TELEDYNE TECHNOLOGIES INCORPORATED (XNYS:TDY)</v>
    <v>2</v>
    <v>3</v>
    <v>Finance</v>
    <v>4</v>
    <v>493.97</v>
    <v>325</v>
    <v>1.0878000000000001</v>
    <v>-10.6388</v>
    <v>-2.6619999999999998E-2</v>
    <v>USD</v>
    <v>Teledyne Technologies Incorporated provides enabling technologies for industrial growth markets. These markets include factory automation and condition monitoring, air and water quality environmental monitoring, and others. The Company has four segments. Digital Imaging segment includes sensors, cameras and systems, within the visible, infrared, ultraviolet and X-ray spectra for use in industrial, scientific, government, space, defense, security and others. Instrumentation segment provides monitoring and control instruments for marine, environmental, industrial and other applications, and electronic test and measurement equipment. Aerospace and Defense Electronics segment provides electronic components and subsystems, data acquisition and communications components and equipment, harsh environment interconnects, general aviation batteries and other components. Engineered Systems segment provides systems engineering, integration and technology development, and manufacturing solutions.</v>
    <v>14500</v>
    <v>New York Stock Exchange</v>
    <v>XNYS</v>
    <v>XNYS</v>
    <v>1049 Camino Dos Rios, THOUSAND OAKS, CA, 91360 US</v>
    <v>395.34500000000003</v>
    <v>Electronic Equipment &amp; Parts</v>
    <v>Stock</v>
    <v>44917.737055705467</v>
    <v>1052</v>
    <v>389.02120000000002</v>
    <v>18233847677</v>
    <v>TELEDYNE TECHNOLOGIES INCORPORATED</v>
    <v>TELEDYNE TECHNOLOGIES INCORPORATED</v>
    <v>395.33</v>
    <v>26.355799999999999</v>
    <v>399.66</v>
    <v>389.02120000000002</v>
    <v>46871090</v>
    <v>TDY</v>
    <v>TELEDYNE TECHNOLOGIES INCORPORATED (XNYS:TDY)</v>
    <v>38802</v>
    <v>202258</v>
    <v>1999</v>
  </rv>
  <rv s="2">
    <v>1053</v>
  </rv>
  <rv s="0">
    <v>https://www.bing.com/financeapi/forcetrigger?t=a25omw&amp;q=XNYS%3aWAB&amp;form=skydnc</v>
    <v>Learn more on Bing</v>
  </rv>
  <rv s="1">
    <v>en-US</v>
    <v>a25omw</v>
    <v>268435456</v>
    <v>1</v>
    <v>Powered by Refinitiv</v>
    <v>0</v>
    <v>WESTINGHOUSE AIR BRAKE TECHNOLOGIES CORPORATION (XNYS:WAB)</v>
    <v>2</v>
    <v>3</v>
    <v>Finance</v>
    <v>4</v>
    <v>105.51</v>
    <v>78.260000000000005</v>
    <v>1.4653</v>
    <v>-2.78</v>
    <v>-2.7386000000000001E-2</v>
    <v>USD</v>
    <v>Westinghouse Air Brake Technologies Corporation, doing business as Wabtec Corporation, is a provider of technology-based equipment, systems and services for the global freight rail and passenger transit industries. It operates through two segments: Freight and Transit. The Freight Segment primarily manufactures and provides aftermarket parts and services for new locomotives; provides components for new and existing locomotives and freight cars; builds new commuter locomotives; supplies rail control and infrastructure products; overhauls locomotives and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v>
    <v>25000</v>
    <v>New York Stock Exchange</v>
    <v>XNYS</v>
    <v>XNYS</v>
    <v>30 Isabella Street, PITTSBURGH, PA, 15212 US</v>
    <v>100.46</v>
    <v>Machinery, Equipment &amp; Components</v>
    <v>Stock</v>
    <v>44917.737053124998</v>
    <v>1055</v>
    <v>98.7</v>
    <v>17955817767</v>
    <v>WESTINGHOUSE AIR BRAKE TECHNOLOGIES CORPORATION</v>
    <v>WESTINGHOUSE AIR BRAKE TECHNOLOGIES CORPORATION</v>
    <v>100.46</v>
    <v>28.252500000000001</v>
    <v>101.51</v>
    <v>98.73</v>
    <v>181867900</v>
    <v>WAB</v>
    <v>WESTINGHOUSE AIR BRAKE TECHNOLOGIES CORPORATION (XNYS:WAB)</v>
    <v>152799</v>
    <v>794672</v>
    <v>1989</v>
  </rv>
  <rv s="2">
    <v>1056</v>
  </rv>
  <rv s="0">
    <v>https://www.bing.com/financeapi/forcetrigger?t=a1p55r&amp;q=XNYS%3aCAG&amp;form=skydnc</v>
    <v>Learn more on Bing</v>
  </rv>
  <rv s="1">
    <v>en-US</v>
    <v>a1p55r</v>
    <v>268435456</v>
    <v>1</v>
    <v>Powered by Refinitiv</v>
    <v>0</v>
    <v>CONAGRA BRANDS, INC. (XNYS:CAG)</v>
    <v>2</v>
    <v>3</v>
    <v>Finance</v>
    <v>4</v>
    <v>39.06</v>
    <v>30.06</v>
    <v>0.57120000000000004</v>
    <v>-0.13</v>
    <v>-3.3519999999999999E-3</v>
    <v>USD</v>
    <v>Conagra Brands, Inc. is a consumer packaged goods food company. The Company operates in various sectors of the food industry, with a focus on the sale of branded, private branded, and value-added consumer food, as well as foodservice items and ingredients. Its Grocery &amp; Snacks segment principally includes branded, shelf-stable food products sold in various retail channels in the United States. Its Refrigerated &amp; Frozen segment principally includes branded, temperature-controlled food products sold in various retail channels in the United States. Its International segment principally includes branded food products, in various temperature states, sold in various retail and foodservice channels outside of the United States. Its Foodservice segment includes branded and customized food products, including meals, entrees, sauces, and a variety of custom-manufactured culinary products packaged for sale to restaurants and other foodservice establishments, primarily in the United States.</v>
    <v>18000</v>
    <v>New York Stock Exchange</v>
    <v>XNYS</v>
    <v>XNYS</v>
    <v>222 Merchandise Mart Plz Ste 1300, CHICAGO, IL, 60654-1103 US</v>
    <v>38.880000000000003</v>
    <v>Food &amp; Tobacco</v>
    <v>Stock</v>
    <v>44917.737135092189</v>
    <v>1058</v>
    <v>38.61</v>
    <v>18523205750</v>
    <v>CONAGRA BRANDS, INC.</v>
    <v>CONAGRA BRANDS, INC.</v>
    <v>38.78</v>
    <v>32.509300000000003</v>
    <v>38.78</v>
    <v>38.65</v>
    <v>479255000</v>
    <v>CAG</v>
    <v>CONAGRA BRANDS, INC. (XNYS:CAG)</v>
    <v>800425</v>
    <v>3682572</v>
    <v>1975</v>
  </rv>
  <rv s="2">
    <v>1059</v>
  </rv>
  <rv s="0">
    <v>https://www.bing.com/financeapi/forcetrigger?t=a1wdp2&amp;q=XNYS%3aK&amp;form=skydnc</v>
    <v>Learn more on Bing</v>
  </rv>
  <rv s="1">
    <v>en-US</v>
    <v>a1wdp2</v>
    <v>268435456</v>
    <v>1</v>
    <v>Powered by Refinitiv</v>
    <v>0</v>
    <v>KELLOGG COMPANY (XNYS:K)</v>
    <v>2</v>
    <v>3</v>
    <v>Finance</v>
    <v>4</v>
    <v>77.17</v>
    <v>59.54</v>
    <v>0.437</v>
    <v>-0.41499999999999998</v>
    <v>-5.7789999999999994E-3</v>
    <v>USD</v>
    <v>Kellogg Company is a manufacturing and marketing of snacks and convenience foods. The Company’s segments include North America, Europe, Latin America and AMEA (Asia Middle East Africa). Its principal products are snacks, which includes crackers, savory snacks, toaster pastries, cereal bars, granola bars and bites, and convenience foods, which include ready-to-eat cereals, frozen waffles, veggie foods and noodles. The Company’s snacks brands are marketed under brands, such as Kellogg’s, Cheez-It, Pringles, Austin, Parati and RXBAR. Its cereals and cereal bars are generally marketed under Kellogg’s name, with some under the Kashi and Bear Naked brands. The Company’s frozen foods are marketed under the Eggo and Morningstar Farms brands. It uses broker and distributor arrangements for certain products and channels, as well as in certain geographies. The Company has manufactured in over 21 countries and marketed in approximately 180 countries.</v>
    <v>31000</v>
    <v>New York Stock Exchange</v>
    <v>XNYS</v>
    <v>XNYS</v>
    <v>P O BOX 3599, ONE KELLOGG SQ, BATTLE CREEK, MI, 49016-3599 US</v>
    <v>71.87</v>
    <v>Food &amp; Tobacco</v>
    <v>Stock</v>
    <v>44917.737105196094</v>
    <v>1061</v>
    <v>71.39</v>
    <v>24365764134</v>
    <v>KELLOGG COMPANY</v>
    <v>KELLOGG COMPANY</v>
    <v>71.78</v>
    <v>16.541499999999999</v>
    <v>71.81</v>
    <v>71.394999999999996</v>
    <v>341281100</v>
    <v>K</v>
    <v>KELLOGG COMPANY (XNYS:K)</v>
    <v>344997</v>
    <v>2112552</v>
    <v>1922</v>
  </rv>
  <rv s="2">
    <v>1062</v>
  </rv>
  <rv s="0">
    <v>https://www.bing.com/financeapi/forcetrigger?t=a1ysr7&amp;q=XNAS%3aNTRS&amp;form=skydnc</v>
    <v>Learn more on Bing</v>
  </rv>
  <rv s="1">
    <v>en-US</v>
    <v>a1ysr7</v>
    <v>268435456</v>
    <v>1</v>
    <v>Powered by Refinitiv</v>
    <v>0</v>
    <v>NORTHERN TRUST CORPORATION (XNAS:NTRS)</v>
    <v>2</v>
    <v>3</v>
    <v>Finance</v>
    <v>4</v>
    <v>135.15</v>
    <v>76.150000000000006</v>
    <v>1.0812999999999999</v>
    <v>-2.5049999999999999</v>
    <v>-2.8162E-2</v>
    <v>USD</v>
    <v>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v>
    <v>21100</v>
    <v>Nasdaq Stock Market</v>
    <v>XNAS</v>
    <v>XNAS</v>
    <v>50 S Lasalle St, CHICAGO, IL, 60603-1008 US</v>
    <v>88.39</v>
    <v>Investment Banking &amp; Investment Services</v>
    <v>Stock</v>
    <v>44917.737043772657</v>
    <v>1064</v>
    <v>86.314999999999998</v>
    <v>18538570000</v>
    <v>NORTHERN TRUST CORPORATION</v>
    <v>NORTHERN TRUST CORPORATION</v>
    <v>88.24</v>
    <v>12.1226</v>
    <v>88.95</v>
    <v>86.444999999999993</v>
    <v>208415700</v>
    <v>NTRS</v>
    <v>NORTHERN TRUST CORPORATION (XNAS:NTRS)</v>
    <v>274367</v>
    <v>921038</v>
    <v>1971</v>
  </rv>
  <rv s="2">
    <v>1065</v>
  </rv>
  <rv s="0">
    <v>https://www.bing.com/financeapi/forcetrigger?t=bqejrw&amp;q=XNYS%3aAMCR&amp;form=skydnc</v>
    <v>Learn more on Bing</v>
  </rv>
  <rv s="1">
    <v>en-US</v>
    <v>bqejrw</v>
    <v>268435456</v>
    <v>1</v>
    <v>Powered by Refinitiv</v>
    <v>0</v>
    <v>Amcor plc (XNYS:AMCR)</v>
    <v>2</v>
    <v>3</v>
    <v>Finance</v>
    <v>4</v>
    <v>13.605</v>
    <v>10.42</v>
    <v>0.85250000000000004</v>
    <v>-0.245</v>
    <v>-2.0247999999999999E-2</v>
    <v>USD</v>
    <v>Amcor plc is a United Kingdom-based packaging company. The Company is engaged in developing and producing packaging for food, beverage, pharmaceutical, medical, home and personal-care, and other products. The Company's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 for a variety of applications. It works with companies around the world to protect their products and the people who rely on them, differentiate brands, and improve supply chains through a range of flexible and rigid packaging, specialty cartons, closures, and services.</v>
    <v>37000</v>
    <v>New York Stock Exchange</v>
    <v>XNYS</v>
    <v>XNYS</v>
    <v>83 Tower Road North, Warmley, WARMLEY, BRISTOL, BS30 8XP GB</v>
    <v>12.074999999999999</v>
    <v>Containers &amp; Packaging</v>
    <v>Stock</v>
    <v>44917.737095971876</v>
    <v>1067</v>
    <v>11.855</v>
    <v>17652332100</v>
    <v>Amcor plc</v>
    <v>Amcor plc</v>
    <v>12.07</v>
    <v>21.938199999999998</v>
    <v>12.1</v>
    <v>11.855</v>
    <v>1489020000</v>
    <v>AMCR</v>
    <v>Amcor plc (XNYS:AMCR)</v>
    <v>1770676</v>
    <v>7464569</v>
    <v>2018</v>
  </rv>
  <rv s="2">
    <v>1068</v>
  </rv>
  <rv s="0">
    <v>https://www.bing.com/financeapi/forcetrigger?t=a1r177&amp;q=XNYS%3aDGX&amp;form=skydnc</v>
    <v>Learn more on Bing</v>
  </rv>
  <rv s="1">
    <v>en-US</v>
    <v>a1r177</v>
    <v>268435456</v>
    <v>1</v>
    <v>Powered by Refinitiv</v>
    <v>0</v>
    <v>QUEST DIAGNOSTICS INCORPORATED (XNYS:DGX)</v>
    <v>2</v>
    <v>3</v>
    <v>Finance</v>
    <v>4</v>
    <v>174.16</v>
    <v>120.4</v>
    <v>0.98250000000000004</v>
    <v>-0.83</v>
    <v>-5.3439999999999998E-3</v>
    <v>USD</v>
    <v>Quest Diagnostics Incorporated is a provider of diagnostic information services. The Company operates through the DIS segment, which provides diagnostic information services to a range of customers, including patients, clinicians, hospitals, integrated delivery networks (IDNs), health plans, employers, accountable care organizations (ACOs) and direct contract entities (DCEs). It is also engaged in two business operations, Diagnostic Information Services, which develops and delivers diagnostic information services that provide insights to a range of customers, and the Diagnostic Solutions group includes its risk assessment services business, which offers solutions for insurers and its healthcare information technology businesses, which offers solutions for healthcare providers. The Company’s services primarily are provided under the Quest Diagnostics brand. The Company is also engaged in providing outreach laboratory services business.</v>
    <v>40000</v>
    <v>New York Stock Exchange</v>
    <v>XNYS</v>
    <v>XNYS</v>
    <v>500 Plaza Drive, SECAUCUS, NJ, 07094 US</v>
    <v>155.30000000000001</v>
    <v>Healthcare Providers &amp; Services</v>
    <v>Stock</v>
    <v>44917.737036041406</v>
    <v>1070</v>
    <v>153.61000000000001</v>
    <v>17686720000</v>
    <v>QUEST DIAGNOSTICS INCORPORATED</v>
    <v>QUEST DIAGNOSTICS INCORPORATED</v>
    <v>154.18</v>
    <v>15.3033</v>
    <v>155.30000000000001</v>
    <v>154.47</v>
    <v>113887500</v>
    <v>DGX</v>
    <v>QUEST DIAGNOSTICS INCORPORATED (XNYS:DGX)</v>
    <v>361782</v>
    <v>1122649</v>
    <v>1996</v>
  </rv>
  <rv s="2">
    <v>1071</v>
  </rv>
  <rv s="0">
    <v>https://www.bing.com/financeapi/forcetrigger?t=a23ocw&amp;q=XNYS%3aSTE&amp;form=skydnc</v>
    <v>Learn more on Bing</v>
  </rv>
  <rv s="1">
    <v>en-US</v>
    <v>a23ocw</v>
    <v>268435456</v>
    <v>1</v>
    <v>Powered by Refinitiv</v>
    <v>0</v>
    <v>STERIS PUBLIC LIMITED COMPANY (XNYS:STE)</v>
    <v>2</v>
    <v>3</v>
    <v>Finance</v>
    <v>4</v>
    <v>255.9325</v>
    <v>159.21</v>
    <v>0.81240000000000001</v>
    <v>-3.19</v>
    <v>-1.7578E-2</v>
    <v>USD</v>
    <v>STERIS plc is a provider of infection prevention and other procedural products and services. The Company’s segments include Healthcare, Applied Sterilization Technologies, Life Sciences and Dental. The Healthcare segment focused on sterile processing departments and procedural centers, such as operating rooms and renal dialysis centers. The Company offers a mix of consumable products, such as detergents, gastrointestinal endoscopy accessories, barrier product solutions, and other products and services, including equipment installation and maintenance, microbial reduction of medical devices, dental instruments and tools, instrument and scope repair, laboratory testing services, outsourced reprocessing, and capital equipment products, such as sterilizers and surgical tables, automated endoscope reprocesses, and connectivity solutions such as operating room integration. It also offers sterility assurance and barrier products, biocontamination services and equipment maintenance services.</v>
    <v>16422</v>
    <v>New York Stock Exchange</v>
    <v>XNYS</v>
    <v>XNYS</v>
    <v>Block a Riverside IV, 70 Sir John Rogerson's Quay, DUBLIN, IRELAND-NA IE</v>
    <v>181.01329999999999</v>
    <v>Healthcare Equipment &amp; Supplies</v>
    <v>Stock</v>
    <v>44917.737100671096</v>
    <v>1073</v>
    <v>178.29</v>
    <v>17797433755</v>
    <v>STERIS PUBLIC LIMITED COMPANY</v>
    <v>STERIS PUBLIC LIMITED COMPANY</v>
    <v>180.6</v>
    <v>43.032400000000003</v>
    <v>181.48</v>
    <v>178.29</v>
    <v>99822950</v>
    <v>STE</v>
    <v>STERIS PUBLIC LIMITED COMPANY (XNYS:STE)</v>
    <v>131331</v>
    <v>614176</v>
    <v>2016</v>
  </rv>
  <rv s="2">
    <v>1074</v>
  </rv>
  <rv s="0">
    <v>https://www.bing.com/financeapi/forcetrigger?t=a1pyar&amp;q=XNYS%3aCMS&amp;form=skydnc</v>
    <v>Learn more on Bing</v>
  </rv>
  <rv s="1">
    <v>en-US</v>
    <v>a1pyar</v>
    <v>268435456</v>
    <v>1</v>
    <v>Powered by Refinitiv</v>
    <v>0</v>
    <v>CMS ENERGY CORPORATION (XNYS:CMS)</v>
    <v>2</v>
    <v>3</v>
    <v>Finance</v>
    <v>4</v>
    <v>73.760000000000005</v>
    <v>52.41</v>
    <v>0.32769999999999999</v>
    <v>-1.01</v>
    <v>-1.6119000000000001E-2</v>
    <v>USD</v>
    <v>CMS Energy Corporation is an energy company operating primarily in Michigan. The Company manages its businesses by the nature of services each provides, and operates principally in three segments: Electric Utility, Gas Utility, and Enterprises. The Electric Utility segment consisting of regulated activities associated with the generation, purchase, distribution, and sale of electricity in Michigan. The Gas Utility segment consisting of regulated activities associated with the purchase, transmission, storage, distribution, and sale of natural gas in Michigan. The Enterprises segment consisting of various subsidiaries engaging in domestic independent power production, including the development and operation of renewable generation, and the marketing of independent power production. The Company's wholly owned subsidiary, CMS Enterprises Company, is engaged in the development and operation of renewable generation, and the marketing of independent power production.</v>
    <v>8504</v>
    <v>New York Stock Exchange</v>
    <v>XNYS</v>
    <v>XNYS</v>
    <v>One Energy Plaza, JACKSON, MI, 49201 US</v>
    <v>62.74</v>
    <v>Multiline Utilities</v>
    <v>Stock</v>
    <v>44917.737110068752</v>
    <v>1076</v>
    <v>61.64</v>
    <v>17894011140</v>
    <v>CMS ENERGY CORPORATION</v>
    <v>CMS ENERGY CORPORATION</v>
    <v>62.564999999999998</v>
    <v>25.135400000000001</v>
    <v>62.66</v>
    <v>61.65</v>
    <v>290251600</v>
    <v>CMS</v>
    <v>CMS ENERGY CORPORATION (XNYS:CMS)</v>
    <v>364869</v>
    <v>2170838</v>
    <v>1987</v>
  </rv>
  <rv s="2">
    <v>1077</v>
  </rv>
  <rv s="0">
    <v>https://www.bing.com/financeapi/forcetrigger?t=a22ra2&amp;q=XNAS%3aSEDG&amp;form=skydnc</v>
    <v>Learn more on Bing</v>
  </rv>
  <rv s="1">
    <v>en-US</v>
    <v>a22ra2</v>
    <v>268435456</v>
    <v>1</v>
    <v>Powered by Refinitiv</v>
    <v>0</v>
    <v>SOLAREDGE TECHNOLOGIES, INC. (XNAS:SEDG)</v>
    <v>2</v>
    <v>3</v>
    <v>Finance</v>
    <v>4</v>
    <v>375.9</v>
    <v>190.15</v>
    <v>1.2313000000000001</v>
    <v>-15.93</v>
    <v>-4.9294000000000004E-2</v>
    <v>USD</v>
    <v>SolarEdge Technologies, Inc. offers an inverter solution for a solar photovoltaic (PV) system. The Company's products include SolarEdge Power Optimizer, SolarEdge Inverter, StorEdge Solutions and SolarEdge Monitoring Software. Its product roadmap consists of categories, including power optimizers, inverters, monitoring services, energy storage and smart energy management. The Company's power optimizers provide module-level maximum power point (MPP) tracking and real-time adjustments of current and voltage to the optimal working point of each individual PV module. The Company's solution consists of a direct current (DC) power optimizer, an inverter and a cloud-based monitoring platform that operates as a single integrated system.</v>
    <v>3964</v>
    <v>Nasdaq Stock Market</v>
    <v>XNAS</v>
    <v>XNAS</v>
    <v>1 HaMada St., POB 12001, HERZLIYA, 4672505 IL</v>
    <v>318.87</v>
    <v>Renewable Energy</v>
    <v>Stock</v>
    <v>44917.737035856248</v>
    <v>1079</v>
    <v>307.01</v>
    <v>17172580910</v>
    <v>SOLAREDGE TECHNOLOGIES, INC.</v>
    <v>SOLAREDGE TECHNOLOGIES, INC.</v>
    <v>317.02</v>
    <v>158.67779999999999</v>
    <v>323.16000000000003</v>
    <v>307.23</v>
    <v>55894870</v>
    <v>SEDG</v>
    <v>SOLAREDGE TECHNOLOGIES, INC. (XNAS:SEDG)</v>
    <v>256822</v>
    <v>928950</v>
    <v>2006</v>
  </rv>
  <rv s="2">
    <v>1080</v>
  </rv>
  <rv s="0">
    <v>https://www.bing.com/financeapi/forcetrigger?t=a1zxcw&amp;q=XNYS%3aPKI&amp;form=skydnc</v>
    <v>Learn more on Bing</v>
  </rv>
  <rv s="1">
    <v>en-US</v>
    <v>a1zxcw</v>
    <v>268435456</v>
    <v>1</v>
    <v>Powered by Refinitiv</v>
    <v>0</v>
    <v>PERKINELMER, INC. (XNYS:PKI)</v>
    <v>2</v>
    <v>3</v>
    <v>Finance</v>
    <v>4</v>
    <v>203.16</v>
    <v>113.46</v>
    <v>1.1245000000000001</v>
    <v>-3.0430000000000001</v>
    <v>-2.1406999999999999E-2</v>
    <v>USD</v>
    <v>PerkinElmer, Inc. is a provider of products, services and solutions for the diagnostics, life sciences and applied markets. The Company operates through two segments: Discovery &amp; Analytical Solutions and Diagnostics. The Discovery &amp; Analytical Solutions segment provides products and services targeted towards the life sciences and applied markets. The Diagnostics segment develops diagnostics, tools and applications focused on clinically oriented customers, especially within the reproductive health, immunodiagnostics and applied genomics markets. The Company provides early detection for genetic disorders from pregnancy to early childhood, and infectious disease testing for the diagnostics market. It offers its products under various brand names, including AutoDELFIA, BACS-on-Beads, BIOCHIPs, Bioo Scientific, BoBs, chemagic, Chitas, Datalytix, DELFIA, DELFIA Xpress, DOPlify, EONIS, EUROArray, EUROIMMUN, EUROLabWorkstation, EUROline, EUROPattern, FragilEase, Genoglyphix, GSP, and others.</v>
    <v>16700</v>
    <v>New York Stock Exchange</v>
    <v>XNYS</v>
    <v>XNYS</v>
    <v>940 Winter Street, WALTHAM, MA, 02451 US</v>
    <v>141.13</v>
    <v>Healthcare Equipment &amp; Supplies</v>
    <v>Stock</v>
    <v>44917.736354779685</v>
    <v>1082</v>
    <v>139.03</v>
    <v>17571425901</v>
    <v>PERKINELMER, INC.</v>
    <v>PERKINELMER, INC.</v>
    <v>140.72</v>
    <v>29.2241</v>
    <v>142.15</v>
    <v>139.107</v>
    <v>126315900</v>
    <v>PKI</v>
    <v>PERKINELMER, INC. (XNYS:PKI)</v>
    <v>95602</v>
    <v>782266</v>
    <v>1947</v>
  </rv>
  <rv s="2">
    <v>1083</v>
  </rv>
  <rv s="0">
    <v>https://www.bing.com/financeapi/forcetrigger?t=a1x8z2&amp;q=XNYS%3aMAA&amp;form=skydnc</v>
    <v>Learn more on Bing</v>
  </rv>
  <rv s="1">
    <v>en-US</v>
    <v>a1x8z2</v>
    <v>268435456</v>
    <v>1</v>
    <v>Powered by Refinitiv</v>
    <v>0</v>
    <v>MID-AMERICA APARTMENT COMMUNITIES, INC. (XNYS:MAA)</v>
    <v>2</v>
    <v>3</v>
    <v>Finance</v>
    <v>4</v>
    <v>231.63</v>
    <v>141.13</v>
    <v>0.73839999999999995</v>
    <v>-2.5750000000000002</v>
    <v>-1.6511000000000001E-2</v>
    <v>USD</v>
    <v>Mid-America Apartment Communities, Inc. is a multifamily-focused, self-administered and self-managed real estate investment trust (REIT). The Company owns, operates, acquires, and selectively develops apartment communities primarily located in the Southeast, Southwest and Mid-Atlantic regions of the United States. It operates through two segments: Same Store, and Non-Same Store and Other. Its Same Store segment represents those apartment communities that have been owned and stabilized for at least 12 months. Its Non-Same Store and Other segment includes recently acquired communities, communities being developed or in lease-up, communities identified for disposition, and others. Its Non-Same Store and Other segment also includes non-multifamily activities. The Company owns and operates approximately 290 apartment communities through the Mid-America Apartments, L.P. (Operating Partnership) and its subsidiaries.</v>
    <v>2429</v>
    <v>New York Stock Exchange</v>
    <v>XNYS</v>
    <v>XNYS</v>
    <v>Ste 340, 6584 Poplar Ave, MEMPHIS, TN, 38138 US</v>
    <v>155.88999999999999</v>
    <v>Residential &amp; Commercial REIT</v>
    <v>Stock</v>
    <v>44917.736750219534</v>
    <v>1085</v>
    <v>153.375</v>
    <v>17712439645</v>
    <v>MID-AMERICA APARTMENT COMMUNITIES, INC.</v>
    <v>MID-AMERICA APARTMENT COMMUNITIES, INC.</v>
    <v>154.75</v>
    <v>28.807099999999998</v>
    <v>155.96</v>
    <v>153.38499999999999</v>
    <v>115477000</v>
    <v>MAA</v>
    <v>MID-AMERICA APARTMENT COMMUNITIES, INC. (XNYS:MAA)</v>
    <v>128141</v>
    <v>625363</v>
    <v>1993</v>
  </rv>
  <rv s="2">
    <v>1086</v>
  </rv>
  <rv s="0">
    <v>https://www.bing.com/financeapi/forcetrigger?t=a25m77&amp;q=XNYS%3aVTR&amp;form=skydnc</v>
    <v>Learn more on Bing</v>
  </rv>
  <rv s="1">
    <v>en-US</v>
    <v>a25m77</v>
    <v>268435456</v>
    <v>1</v>
    <v>Powered by Refinitiv</v>
    <v>0</v>
    <v>VENTAS, INC. (XNYS:VTR)</v>
    <v>2</v>
    <v>3</v>
    <v>Finance</v>
    <v>4</v>
    <v>64.02</v>
    <v>35.33</v>
    <v>1.179</v>
    <v>-0.45</v>
    <v>-1.0036E-2</v>
    <v>USD</v>
    <v>Ventas, Inc. is a real estate investment trust (REIT) operating at the intersection of healthcare and real estate. The Company segments include Triple-Net Leased Properties, Senior Living Operations and Office Operations. In Triple-Net Leased Properties segment, the Company invest in and own senior housing and healthcare properties throughout the United States and the United Kingdom and lease those properties to healthcare operating companies under triple-net or absolute-net leases. In Senior Living Operations segment, the Company invest in senior housing communities throughout the United States and Canada and engage independent managers, such as Atria and Sunrise, to operate and manage those communities. In Office Operations segment, the Company primarily acquires, owns, develops, leases and manages medical office buildings (MOBs), and life science, research and innovation centers throughout the United States. The Company owns or has investment in approximately 1,200 properties.</v>
    <v>434</v>
    <v>New York Stock Exchange</v>
    <v>XNYS</v>
    <v>XNYS</v>
    <v>SUITE 3300, 353 N. CLARK STREET, CHICAGO, IL, 60654 US</v>
    <v>45.168999999999997</v>
    <v>Residential &amp; Commercial REIT</v>
    <v>Stock</v>
    <v>44917.737105520311</v>
    <v>1088</v>
    <v>44.31</v>
    <v>17743482020</v>
    <v>VENTAS, INC.</v>
    <v>VENTAS, INC.</v>
    <v>44.72</v>
    <v>822.40499999999997</v>
    <v>44.84</v>
    <v>44.39</v>
    <v>399718000</v>
    <v>VTR</v>
    <v>VENTAS, INC. (XNYS:VTR)</v>
    <v>483658</v>
    <v>2286642</v>
    <v>1987</v>
  </rv>
  <rv s="2">
    <v>1089</v>
  </rv>
  <rv s="0">
    <v>https://www.bing.com/financeapi/forcetrigger?t=a24km7&amp;q=XNYS%3aTSN&amp;form=skydnc</v>
    <v>Learn more on Bing</v>
  </rv>
  <rv s="1">
    <v>en-US</v>
    <v>a24km7</v>
    <v>268435456</v>
    <v>1</v>
    <v>Powered by Refinitiv</v>
    <v>0</v>
    <v>TYSON FOODS, INC. (XNYS:TSN)</v>
    <v>2</v>
    <v>3</v>
    <v>Finance</v>
    <v>4</v>
    <v>100.72</v>
    <v>59.75</v>
    <v>0.7016</v>
    <v>-0.99</v>
    <v>-1.6293999999999999E-2</v>
    <v>USD</v>
    <v>Tyson Foods, Inc. is a protein-focused food company. Its segments include Beef, Pork, Chicken, and Prepared Foods. Beef segment includes its operations related to processing live fed cattle and fabricating dressed beef carcasses into primal and sub-primal cuts and case-ready products. It also includes sales from allied products such as hides and variety meats, as well as logistics operations to move products through the supply chain. Pork segment includes operations related to processing live market hogs and fabricating pork carcasses into primal and sub-primal cuts and case-ready products. Chicken segment includes domestic operations related to raising and processing live chickens into, and purchasing raw materials for, fresh, frozen, and value-added chicken products, as well as sales from allied products. Prepared Foods includes operations related to manufacturing and marketing, frozen and refrigerated food products and logistics operations to move products through the supply chain.</v>
    <v>142000</v>
    <v>New York Stock Exchange</v>
    <v>XNYS</v>
    <v>XNYS</v>
    <v>2200 DON TYSON PARKWAY, SPRINGDALE, AR, 72762-6999 US</v>
    <v>60.527999999999999</v>
    <v>Food &amp; Tobacco</v>
    <v>Stock</v>
    <v>44917.737105161716</v>
    <v>1091</v>
    <v>59.75</v>
    <v>21492652461</v>
    <v>TYSON FOODS, INC.</v>
    <v>TYSON FOODS, INC.</v>
    <v>60.41</v>
    <v>6.8270999999999997</v>
    <v>60.76</v>
    <v>59.77</v>
    <v>359589300</v>
    <v>TSN</v>
    <v>TYSON FOODS, INC. (XNYS:TSN)</v>
    <v>1004984</v>
    <v>3353087</v>
    <v>1986</v>
  </rv>
  <rv s="2">
    <v>1092</v>
  </rv>
  <rv s="0">
    <v>http://en.wikipedia.org/wiki/Marathon_Oil</v>
    <v>Wikipedia</v>
  </rv>
  <rv s="3">
    <v>3</v>
    <v>1094</v>
  </rv>
  <rv s="4">
    <v>9</v>
    <v>https://www.bing.com/th?id=AMMS_053e966468c0c2456f7c62d3a165a7fd&amp;qlt=95</v>
    <v>1095</v>
    <v>0</v>
    <v>https://www.bing.com/images/search?form=xlimg&amp;q=marathon+oil</v>
    <v>Image of MARATHON OIL CORPORATION</v>
  </rv>
  <rv s="0">
    <v>https://www.bing.com/financeapi/forcetrigger?t=a1xxvh&amp;q=XNYS%3aMRO&amp;form=skydnc</v>
    <v>Learn more on Bing</v>
  </rv>
  <rv s="5">
    <v>en-US</v>
    <v>a1xxvh</v>
    <v>268435456</v>
    <v>1</v>
    <v>Powered by Refinitiv</v>
    <v>5</v>
    <v>MARATHON OIL CORPORATION (XNYS:MRO)</v>
    <v>7</v>
    <v>8</v>
    <v>Finance</v>
    <v>4</v>
    <v>33.42</v>
    <v>15.5</v>
    <v>2.4367000000000001</v>
    <v>-1.1100000000000001</v>
    <v>-4.0014000000000001E-2</v>
    <v>USD</v>
    <v>Marathon Oil Corporation is an exploration and production company. The Company is focused on the United States resource plays, which includes the Eagle Ford in Texas, the Bakken in North Dakota, Sooner Trend Anadarko Basin Canadian and Kingfisher Counties (STACK) and South-Central Oklahoma Oil Province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 Its subsidiaries include Alba Associates LLC, Alba Equatorial Guinea Partnership, L.P., Alba Plant LLC and AMPCO Marketing, L.L.C.</v>
    <v>1531</v>
    <v>New York Stock Exchange</v>
    <v>XNYS</v>
    <v>XNYS</v>
    <v>PO Box 3128, HOUSTON, TX, 77253-3128 US</v>
    <v>27.78</v>
    <v>1096</v>
    <v>Oil &amp; Gas</v>
    <v>Stock</v>
    <v>44917.737098460158</v>
    <v>1097</v>
    <v>26.59</v>
    <v>16911855514</v>
    <v>MARATHON OIL CORPORATION</v>
    <v>MARATHON OIL CORPORATION</v>
    <v>27.73</v>
    <v>5.3341000000000003</v>
    <v>27.74</v>
    <v>26.63</v>
    <v>635067800</v>
    <v>MRO</v>
    <v>MARATHON OIL CORPORATION (XNYS:MRO)</v>
    <v>3423950</v>
    <v>11099574</v>
    <v>2001</v>
  </rv>
  <rv s="2">
    <v>1098</v>
  </rv>
  <rv s="0">
    <v>https://www.bing.com/financeapi/forcetrigger?t=a1sicw&amp;q=XNAS%3aEXPD&amp;form=skydnc</v>
    <v>Learn more on Bing</v>
  </rv>
  <rv s="1">
    <v>en-US</v>
    <v>a1sicw</v>
    <v>268435456</v>
    <v>1</v>
    <v>Powered by Refinitiv</v>
    <v>0</v>
    <v>EXPEDITORS INTERNATIONAL OF WASHINGTON, INC (XNAS:EXPD)</v>
    <v>2</v>
    <v>3</v>
    <v>Finance</v>
    <v>4</v>
    <v>135.10499999999999</v>
    <v>86.08</v>
    <v>0.96009999999999995</v>
    <v>-1.915</v>
    <v>-1.7797E-2</v>
    <v>USD</v>
    <v>Expeditors International of Washington, Inc. provides a range of global logistics services. The Company’s services include air and ocean freight consolidation and forwarding, customs brokerage, warehousing and distribution, purchase order management, vendor consolidation, time-definite transportation services, temperature-controlled transit, cargo insurance, specialized cargo monitoring and tracking, and other supply chain solutions. The Company’s principal services categories include airfreight services, ocean freight and ocean services, and customs brokerage and other services. It offers a range of custom solutions, including customs brokerage and import services and warehousing and distribution services. Within airfreight service, it typically acts either as a freight consolidator or as an agent for the airline that carries the shipment. The Company serves a range of industries, including healthcare, aerospace and aviation, manufacturing, oil and energy, automotive and fashion.</v>
    <v>19070</v>
    <v>Nasdaq Stock Market</v>
    <v>XNAS</v>
    <v>XNAS</v>
    <v>1015 Third Avenue, SEATTLE, WA, 98104 US</v>
    <v>106.79</v>
    <v>Freight &amp; Logistics Services</v>
    <v>Stock</v>
    <v>44917.737066017966</v>
    <v>1100</v>
    <v>105.48</v>
    <v>17123070000</v>
    <v>EXPEDITORS INTERNATIONAL OF WASHINGTON, INC</v>
    <v>EXPEDITORS INTERNATIONAL OF WASHINGTON, INC</v>
    <v>106.64</v>
    <v>11.3141</v>
    <v>107.6</v>
    <v>105.685</v>
    <v>159136400</v>
    <v>EXPD</v>
    <v>EXPEDITORS INTERNATIONAL OF WASHINGTON, INC (XNAS:EXPD)</v>
    <v>302761</v>
    <v>1834913</v>
    <v>1979</v>
  </rv>
  <rv s="2">
    <v>1101</v>
  </rv>
  <rv s="0">
    <v>https://www.bing.com/financeapi/forcetrigger?t=a1pvu2&amp;q=XNYS%3aCLX&amp;form=skydnc</v>
    <v>Learn more on Bing</v>
  </rv>
  <rv s="1">
    <v>en-US</v>
    <v>a1pvu2</v>
    <v>268435456</v>
    <v>1</v>
    <v>Powered by Refinitiv</v>
    <v>0</v>
    <v>THE CLOROX COMPANY (XNYS:CLX)</v>
    <v>2</v>
    <v>3</v>
    <v>Finance</v>
    <v>4</v>
    <v>186.85990000000001</v>
    <v>120.5</v>
    <v>0.28179999999999999</v>
    <v>0.55500000000000005</v>
    <v>3.8649999999999999E-3</v>
    <v>USD</v>
    <v>The Clorox Company is a multinational manufacturer and marketer of consumer and professional products. The Company operates through four segments: Health and Wellness, Household, Lifestyle and International. The Health and Wellness segments consist of cleaning products, professional products and vitamins, minerals and supplements mainly marketed and sold in the United States. The Household segment consists of bags and wraps, grilling products and cat litter marketed and sold in the United States. The Lifestyle segment consists of food, natural personal care products and water-filtration products marketed and sold in the United States. The International segment consists of products sold outside the United States. The Company's products are sold primarily through mass retailers; grocery outlets; warehouse clubs; dollar stores; home hardware centers; drug, pet and military stores; third-party and owned e-commerce channels, and distributors.</v>
    <v>9000</v>
    <v>New York Stock Exchange</v>
    <v>XNYS</v>
    <v>XNYS</v>
    <v>1221 Broadway, The Clorox Company, OAKLAND, CA, 94612-1888 US</v>
    <v>144.93</v>
    <v>Personal &amp; Household Products &amp; Services</v>
    <v>Stock</v>
    <v>44917.736932106251</v>
    <v>1103</v>
    <v>143.07</v>
    <v>17786535844</v>
    <v>THE CLOROX COMPANY</v>
    <v>THE CLOROX COMPANY</v>
    <v>143.6</v>
    <v>43.920299999999997</v>
    <v>143.6</v>
    <v>144.155</v>
    <v>123384800</v>
    <v>CLX</v>
    <v>THE CLOROX COMPANY (XNYS:CLX)</v>
    <v>288633</v>
    <v>1109356</v>
    <v>1986</v>
  </rv>
  <rv s="2">
    <v>1104</v>
  </rv>
  <rv s="0">
    <v>https://www.bing.com/financeapi/forcetrigger?t=a1vc52&amp;q=XNYS%3aIEX&amp;form=skydnc</v>
    <v>Learn more on Bing</v>
  </rv>
  <rv s="1">
    <v>en-US</v>
    <v>a1vc52</v>
    <v>268435456</v>
    <v>1</v>
    <v>Powered by Refinitiv</v>
    <v>0</v>
    <v>IDEX CORPORATION (XNYS:IEX)</v>
    <v>2</v>
    <v>3</v>
    <v>Finance</v>
    <v>4</v>
    <v>246.23</v>
    <v>172.185</v>
    <v>0.99390000000000001</v>
    <v>-5.41</v>
    <v>-2.3318999999999999E-2</v>
    <v>USD</v>
    <v>IDEX Corporation is an applied solutions provider specializing in the manufacture of fluid and metering technologies, health and science technologies and fire, safety, and other diversified products. It operates in three segments: Fluid &amp; Metering Technologies (FMT), Health &amp; Science Technologies (HST) and Fire &amp; Safety/Diversified Products (FSDP). The FMT segment designs, produces, and distributes positive displacement pumps, valves, small volume provers, flow meters, and injectors. The HST segment designs, produces, and distributes a range of precision fluidics, rotary lobe pumps, centrifugal and roll compaction and drying systems. It manufactures precise flow paths in a variety of materials that enable the movement of various liquids and gases in critical applications for medical technologies, semiconductor, food processing, digital printing, and filtration. The FSDP segment designs, produces, and distributes firefighting pumps, valves and controls, rescue tools, and lifting bags.</v>
    <v>7536</v>
    <v>New York Stock Exchange</v>
    <v>XNYS</v>
    <v>XNYS</v>
    <v>3100 Sanders Road, Suite 301, NORTHBROOK, IL, 60062 US</v>
    <v>231.04</v>
    <v>Machinery, Equipment &amp; Components</v>
    <v>Stock</v>
    <v>44917.736819027341</v>
    <v>1106</v>
    <v>226.59</v>
    <v>17089669314</v>
    <v>IDEX CORPORATION</v>
    <v>IDEX CORPORATION</v>
    <v>230.125</v>
    <v>30.6843</v>
    <v>232</v>
    <v>226.59</v>
    <v>75421110</v>
    <v>IEX</v>
    <v>IDEX CORPORATION (XNYS:IEX)</v>
    <v>96570</v>
    <v>389509</v>
    <v>1987</v>
  </rv>
  <rv s="2">
    <v>1107</v>
  </rv>
  <rv s="0">
    <v>https://www.bing.com/financeapi/forcetrigger?t=a23p6h&amp;q=XNAS%3aSTLD&amp;form=skydnc</v>
    <v>Learn more on Bing</v>
  </rv>
  <rv s="1">
    <v>en-US</v>
    <v>a23p6h</v>
    <v>268435456</v>
    <v>1</v>
    <v>Powered by Refinitiv</v>
    <v>0</v>
    <v>STEEL DYNAMICS, INC. (XNAS:STLD)</v>
    <v>2</v>
    <v>3</v>
    <v>Finance</v>
    <v>4</v>
    <v>113.12</v>
    <v>50.54</v>
    <v>1.4543999999999999</v>
    <v>-5.2350000000000003</v>
    <v>-4.9943000000000001E-2</v>
    <v>USD</v>
    <v>Steel Dynamics, Inc. is a diversified domestic steel producer and metals recycler. Its segments include Steel Operations, Metals Recycling Operations, and Steel Fabrication Operations. The Steel Operations segment includes the Company’s electric arc furnace (EAF) steel mills, including Butler Flat Roll Division, Columbus Flat Roll Division, Southwest-Sinton Flat Roll Division, Structural and Rail Division, Engineered Bar Products Division, Roanoke Bar Division, and Steel of West Virginia; and steel coating and processing operations at The Techs, Heartland Flat Roll Division, United Steel Supply, and Vulcan Threaded Products, Inc (Vulcan). The Metals Recycling Operations segment includes its OmniSource ferrous and nonferrous processing, transportation, marketing, brokerage and scrap management services. The Steel Fabrication Operations segment includes the Company’s New Millennium Building Systems’ joist and deck plants located throughout the United States, and in Northern Mexico.</v>
    <v>10640</v>
    <v>Nasdaq Stock Market</v>
    <v>XNAS</v>
    <v>XNAS</v>
    <v>7575 W JEFFERSON BLVD, FORT WAYNE, IN, 46804 US</v>
    <v>104.65</v>
    <v>Metals &amp; Mining</v>
    <v>Stock</v>
    <v>44917.737076539066</v>
    <v>1109</v>
    <v>99.13</v>
    <v>17484277869</v>
    <v>STEEL DYNAMICS, INC.</v>
    <v>STEEL DYNAMICS, INC.</v>
    <v>104.65</v>
    <v>4.6226000000000003</v>
    <v>104.82</v>
    <v>99.584999999999994</v>
    <v>175571400</v>
    <v>STLD</v>
    <v>STEEL DYNAMICS, INC. (XNAS:STLD)</v>
    <v>1250127</v>
    <v>3377398</v>
    <v>1994</v>
  </rv>
  <rv s="2">
    <v>1110</v>
  </rv>
  <rv s="0">
    <v>https://www.bing.com/financeapi/forcetrigger?t=a1vn8m&amp;q=XNYS%3aINVH&amp;form=skydnc</v>
    <v>Learn more on Bing</v>
  </rv>
  <rv s="1">
    <v>en-US</v>
    <v>a1vn8m</v>
    <v>268435456</v>
    <v>1</v>
    <v>Powered by Refinitiv</v>
    <v>0</v>
    <v>INVITATION HOMES INC. (XNYS:INVH)</v>
    <v>2</v>
    <v>3</v>
    <v>Finance</v>
    <v>4</v>
    <v>45.8</v>
    <v>29.17</v>
    <v>0.84989999999999999</v>
    <v>-0.6</v>
    <v>-2.0154999999999999E-2</v>
    <v>USD</v>
    <v>Invitation Homes Inc. is a real estate investment trust (REIT) that conducts its operations through Invitation Homes Operating Partnership LP (INVH LP). The Company operates by acquiring, renovating, leasing, and operating single-family homes as rental properties segment. The Company owns and operates single-family homes for lease, offering residents homes across America. The Company has built a vertically integrated operating platform that allows to acquire, renovate, lease, maintain and manage its homes. The Company's business activity includes property operations, marketing and leasing, digital marketing initiatives and branding, resident relations and property maintenance, and investment and asset management. It has approximately 80,000 homes for lease in over 16 markets across the United States. The Company, through THR Property Management L.P, provides all management and other administrative services with respect to the properties it owns.</v>
    <v>1240</v>
    <v>New York Stock Exchange</v>
    <v>XNYS</v>
    <v>XNYS</v>
    <v>1717 Main St Ste 2000, DALLAS, TX, 75201-4657 US</v>
    <v>29.68</v>
    <v>Residential &amp; Commercial REIT</v>
    <v>Stock</v>
    <v>44917.737078298436</v>
    <v>1112</v>
    <v>29.17</v>
    <v>17834826783</v>
    <v>INVITATION HOMES INC.</v>
    <v>INVITATION HOMES INC.</v>
    <v>29.6</v>
    <v>50.776899999999998</v>
    <v>29.77</v>
    <v>29.17</v>
    <v>611409900</v>
    <v>INVH</v>
    <v>INVITATION HOMES INC. (XNYS:INVH)</v>
    <v>922555</v>
    <v>3792824</v>
    <v>2017</v>
  </rv>
  <rv s="2">
    <v>1113</v>
  </rv>
  <rv s="0">
    <v>https://www.bing.com/financeapi/forcetrigger?t=a262jc&amp;q=XNYS%3aWST&amp;form=skydnc</v>
    <v>Learn more on Bing</v>
  </rv>
  <rv s="1">
    <v>en-US</v>
    <v>a262jc</v>
    <v>268435456</v>
    <v>1</v>
    <v>Powered by Refinitiv</v>
    <v>0</v>
    <v>WEST PHARMACEUTICAL SERVICES, INC. (XNYS:WST)</v>
    <v>2</v>
    <v>3</v>
    <v>Finance</v>
    <v>4</v>
    <v>475</v>
    <v>206.19</v>
    <v>1.1251</v>
    <v>-4.6849999999999996</v>
    <v>-1.9962999999999998E-2</v>
    <v>USD</v>
    <v>West Pharmaceutical Services, Inc. is a global manufacturer that is engaged in the design and production of technologically advanced, integrated containment and delivery systems for injectable drugs and healthcare products. The Company operates through two segments: Proprietary Products and Contract-Manufactured Products. The Proprietary Products segment offers proprietary packaging, containment, and drug delivery products, along with analytical lab services and other integrated services and solutions, primarily to biologic, generic and pharmaceutical drug customers. The Contract-Manufactured Products segment serves as a fully integrated business, focused on the design, manufacture, and automated assembly of complex devices, primarily for pharmaceutical, diagnostic, and medical device customers. This segment manufactures customer-owned components and devices used in surgical, diagnostic, ophthalmic, injectable, and other drug delivery systems, as well as consumer products.</v>
    <v>10065</v>
    <v>New York Stock Exchange</v>
    <v>XNYS</v>
    <v>XNYS</v>
    <v>530 Herman O. West Drive, EXTON, PA, 19341 US</v>
    <v>233.39</v>
    <v>Healthcare Equipment &amp; Supplies</v>
    <v>Stock</v>
    <v>44917.736915323439</v>
    <v>1115</v>
    <v>229.76</v>
    <v>17027217535</v>
    <v>WEST PHARMACEUTICAL SERVICES, INC.</v>
    <v>WEST PHARMACEUTICAL SERVICES, INC.</v>
    <v>232.49</v>
    <v>28.249099999999999</v>
    <v>234.68</v>
    <v>229.995</v>
    <v>74032990</v>
    <v>WST</v>
    <v>WEST PHARMACEUTICAL SERVICES, INC. (XNYS:WST)</v>
    <v>100754</v>
    <v>775903</v>
    <v>1923</v>
  </rv>
  <rv s="2">
    <v>1116</v>
  </rv>
  <rv s="0">
    <v>https://www.bing.com/financeapi/forcetrigger?t=a1ra3m&amp;q=XNYS%3aDRI&amp;form=skydnc</v>
    <v>Learn more on Bing</v>
  </rv>
  <rv s="1">
    <v>en-US</v>
    <v>a1ra3m</v>
    <v>268435456</v>
    <v>1</v>
    <v>Powered by Refinitiv</v>
    <v>0</v>
    <v>DARDEN RESTAURANTS, INC. (XNYS:DRI)</v>
    <v>2</v>
    <v>3</v>
    <v>Finance</v>
    <v>4</v>
    <v>155.25</v>
    <v>110.96</v>
    <v>1.2085999999999999</v>
    <v>-1.9450000000000001</v>
    <v>-1.4038E-2</v>
    <v>USD</v>
    <v>Darden Restaurants, Inc. is a full-service restaurant company. The Company operates through four segments: Olive Garden, LongHorn Steakhouse, Fine Dining and Other Business. The Company owns and operates approximately 1,867 restaurants through subsidiaries in the United States and Canada under the Olive Garden, LongHorn Steakhouse, Cheddars Scratch Kitchen, Yard House, The Capital Grille, Seasons 52, Bahama Breeze, Eddie Vs Prime Seafood, and The Capital Burger trademarks. The Olive Garden segment includes its Company-owned Olive Garden restaurants in the United States and Canada. The LongHorn Steakhouse segment includes the results of its Company-owned LongHorn Steakhouse restaurants in the United States. The Fine Dining segment comprises its brands that operate within the fine-dining sub-segment and includes its Company-owned The Capital Grille and Eddie V’s restaurants in the United States. It also has approximately 60 restaurants operated by independent third parties.</v>
    <v>178956</v>
    <v>New York Stock Exchange</v>
    <v>XNYS</v>
    <v>XNYS</v>
    <v>1000 Darden Center Dr, ORLANDO, FL, 32837 US</v>
    <v>138.19</v>
    <v>Hotels &amp; Entertainment Services</v>
    <v>Stock</v>
    <v>44917.737045392969</v>
    <v>1118</v>
    <v>136.44999999999999</v>
    <v>16718689795</v>
    <v>DARDEN RESTAURANTS, INC.</v>
    <v>DARDEN RESTAURANTS, INC.</v>
    <v>138.19</v>
    <v>19.082799999999999</v>
    <v>138.55000000000001</v>
    <v>136.60499999999999</v>
    <v>122387100</v>
    <v>DRI</v>
    <v>DARDEN RESTAURANTS, INC. (XNYS:DRI)</v>
    <v>330774</v>
    <v>1209348</v>
    <v>1995</v>
  </rv>
  <rv s="2">
    <v>1119</v>
  </rv>
  <rv s="0">
    <v>https://www.bing.com/financeapi/forcetrigger?t=a2319c&amp;q=XNYS%3aSJM&amp;form=skydnc</v>
    <v>Learn more on Bing</v>
  </rv>
  <rv s="1">
    <v>en-US</v>
    <v>a2319c</v>
    <v>268435456</v>
    <v>1</v>
    <v>Powered by Refinitiv</v>
    <v>0</v>
    <v>THE J. M. SMUCKER COMPANY (XNYS:SJM)</v>
    <v>2</v>
    <v>3</v>
    <v>Finance</v>
    <v>4</v>
    <v>158.68</v>
    <v>119.82</v>
    <v>0.23</v>
    <v>0.14000000000000001</v>
    <v>8.8639999999999997E-4</v>
    <v>USD</v>
    <v>The J. M. Smucker Company is engaged in manufacturing and marketing of food and beverage products. The Company's segments include U.S. Retail Pet Foods, U.S. Retail Coffee, and U.S. Retail Consumer Foods. The Company’s products include coffee, cat food, pet snacks, dog food, peanut butter, frozen handheld products, fruit spreads, portion control products, juices and beverages, as well as baking mixes and ingredients. The U.S. Retail Pet Foods segment includes Rachael Ray Nutrish, Meow Mix, Milk-Bone, 9Lives, Kibbles ’n Bits, Pup-Peroni, and Nature’s Recipe branded products. The U.S. Retail Coffee segment primarily includes the domestic sales of Folgers, Dunkin’, and Cafe Bustelo branded coffee. The U.S. Retail Consumer Foods segment primarily includes the domestic sales of Smucker’s and Jif branded products. Its distribution facilities are located across Pennsylvania, New York, Alabama, Washington, Kansas, Kentucky, Colorado, Tennessee, Louisiana, Ohio, California, Quebec and Virginia.</v>
    <v>6700</v>
    <v>New York Stock Exchange</v>
    <v>XNYS</v>
    <v>XNYS</v>
    <v>One Strawberry Lane, ORRVILLE, OH, 44667-1241 US</v>
    <v>158.68</v>
    <v>Food &amp; Tobacco</v>
    <v>Stock</v>
    <v>44917.737087707814</v>
    <v>1121</v>
    <v>156.97999999999999</v>
    <v>16857493120</v>
    <v>THE J. M. SMUCKER COMPANY</v>
    <v>THE J. M. SMUCKER COMPANY</v>
    <v>157.19</v>
    <v>29.561299999999999</v>
    <v>157.94</v>
    <v>158.08000000000001</v>
    <v>106639000</v>
    <v>SJM</v>
    <v>THE J. M. SMUCKER COMPANY (XNYS:SJM)</v>
    <v>236819</v>
    <v>871274</v>
    <v>1921</v>
  </rv>
  <rv s="2">
    <v>1122</v>
  </rv>
  <rv s="0">
    <v>https://www.bing.com/financeapi/forcetrigger?t=a1sar7&amp;q=XNAS%3aETSY&amp;form=skydnc</v>
    <v>Learn more on Bing</v>
  </rv>
  <rv s="1">
    <v>en-US</v>
    <v>a1sar7</v>
    <v>268435456</v>
    <v>1</v>
    <v>Powered by Refinitiv</v>
    <v>0</v>
    <v>ETSY, INC. (XNAS:ETSY)</v>
    <v>2</v>
    <v>3</v>
    <v>Finance</v>
    <v>4</v>
    <v>232.98</v>
    <v>67.010000000000005</v>
    <v>1.7659</v>
    <v>-9.59</v>
    <v>-7.1390999999999996E-2</v>
    <v>USD</v>
    <v>Etsy, Inc. (Etsy) operates two-sided online marketplaces that connect people and buyers, and sellers around the world. The Company operates through four segments: Etsy, Reverb, Depop, and Elo7. The Company’s primary marketplace, Etsy.com, is the global destination for goods made by independent sellers. Its Reverb is a two-sided marketplace on the principle that buying and selling musical instruments should be easy. The Company’s Depop is dedicated to building the diverse and progressive home of fashion. Its Elo7, known as the Etsy of Brazil, specializes in custom and made-to-order merchandise. Its Elo7 marketplace includes items in over 40 retail categories. Its services include on-site advertising services, which allow Etsy sellers to pay for placement of its listings in search results, and shipping labels, which allow Etsy sellers in the United States, Canada, United Kingdom, Australia, and India to purchase discounted shipping labels.</v>
    <v>2786</v>
    <v>Nasdaq Stock Market</v>
    <v>XNAS</v>
    <v>XNAS</v>
    <v>117 Adams Street, BROOKLYN, NY, 11201 US</v>
    <v>132.5</v>
    <v>Diversified Retail</v>
    <v>Stock</v>
    <v>44917.737137291406</v>
    <v>1124</v>
    <v>124.27500000000001</v>
    <v>15678358542</v>
    <v>ETSY, INC.</v>
    <v>ETSY, INC.</v>
    <v>131.93</v>
    <v>31.364899999999999</v>
    <v>134.33000000000001</v>
    <v>124.74</v>
    <v>125688300</v>
    <v>ETSY</v>
    <v>ETSY, INC. (XNAS:ETSY)</v>
    <v>1219767</v>
    <v>2901433</v>
    <v>2006</v>
  </rv>
  <rv s="2">
    <v>1125</v>
  </rv>
  <rv s="0">
    <v>https://www.bing.com/financeapi/forcetrigger?t=a1pqur&amp;q=XNAS%3aCINF&amp;form=skydnc</v>
    <v>Learn more on Bing</v>
  </rv>
  <rv s="1">
    <v>en-US</v>
    <v>a1pqur</v>
    <v>268435456</v>
    <v>1</v>
    <v>Powered by Refinitiv</v>
    <v>0</v>
    <v>CINCINNATI FINANCIAL CORPORATION (XNAS:CINF)</v>
    <v>2</v>
    <v>3</v>
    <v>Finance</v>
    <v>4</v>
    <v>143.22</v>
    <v>88.66</v>
    <v>0.63300000000000001</v>
    <v>-1.7549999999999999</v>
    <v>-1.6786000000000002E-2</v>
    <v>USD</v>
    <v>Cincinnati Financial Corporation is engaged in the business of property casualty insurance, which markets through independent insurance agencies in approximately 46 states. The Company’s subsidiaries include The Cincinnati Insurance Company, Cincinnati Global Underwriting Ltd.SM, CSU Producer Resources Inc. and CFC Investment Company. It has five segments. Its Commercial Lines Insurance segment includes five commercial business lines, including commercial casualty, commercial property, commercial auto, workers’ compensation and other commercial lines. Its Personal lines insurance segment includes three business lines, personal auto, homeowner and other personal lines. Its Excess and Surplus Lines Insurance Segment includes commercial casualty and commercial property. Its Life Insurance segment includes term life insurance, worksite products, whole life insurance and universal life insurance. Its Investments segment invests in fixed-maturity investments and equity investments.</v>
    <v>5166</v>
    <v>Nasdaq Stock Market</v>
    <v>XNAS</v>
    <v>XNAS</v>
    <v>6200 S Gilmore Rd, FAIRFIELD, OH, 45014 US</v>
    <v>104.36499999999999</v>
    <v>Insurance</v>
    <v>Stock</v>
    <v>44917.737102592189</v>
    <v>1127</v>
    <v>102.795</v>
    <v>16364902323</v>
    <v>CINCINNATI FINANCIAL CORPORATION</v>
    <v>CINCINNATI FINANCIAL CORPORATION</v>
    <v>104.07</v>
    <v>32.0244</v>
    <v>104.55</v>
    <v>102.795</v>
    <v>159199400</v>
    <v>CINF</v>
    <v>CINCINNATI FINANCIAL CORPORATION (XNAS:CINF)</v>
    <v>97977</v>
    <v>557713</v>
    <v>1992</v>
  </rv>
  <rv s="2">
    <v>1128</v>
  </rv>
  <rv s="0">
    <v>https://www.bing.com/financeapi/forcetrigger?t=a1xwnm&amp;q=XNAS%3aMPWR&amp;form=skydnc</v>
    <v>Learn more on Bing</v>
  </rv>
  <rv s="1">
    <v>en-US</v>
    <v>a1xwnm</v>
    <v>268435456</v>
    <v>1</v>
    <v>Powered by Refinitiv</v>
    <v>0</v>
    <v>MONOLITHIC POWER SYSTEMS, INC. (XNAS:MPWR)</v>
    <v>2</v>
    <v>3</v>
    <v>Finance</v>
    <v>4</v>
    <v>541.39</v>
    <v>301.69</v>
    <v>1.1156999999999999</v>
    <v>-26.55</v>
    <v>-7.2343000000000005E-2</v>
    <v>USD</v>
    <v>Monolithic Power Systems, Inc. is a semiconductor company that designs, develops and markets power solutions. The Company operates through one segment that includes the design, development, marketing and sale of semiconductor-based power electronics solutions for the computing and storage, automotive, industrial, communications and consumer markets. Its product families include Direct Current (DC) to DC Products and Lighting Control Products. Its DC-to-DC integrated circuits (ICs) are used to convert and control voltages within a range of electronic systems, such as portable electronic devices, wireless local area network (LAN) access points, computers, monitors, infotainment applications and medical equipment. The Lighting control ICs are used in backlighting and general illumination products. Lighting control ICs for backlighting are used in systems that provide the light source for liquid crystal display (LCD) panels found in computers, car navigation systems and televisions.</v>
    <v>2093</v>
    <v>Nasdaq Stock Market</v>
    <v>XNAS</v>
    <v>XNAS</v>
    <v>5808 Lake Washington Blvd NE, KIRKLAND, WA, 98033-7350 US</v>
    <v>360.23500000000001</v>
    <v>Semiconductors &amp; Semiconductor Equipment</v>
    <v>Stock</v>
    <v>44917.736998772656</v>
    <v>1130</v>
    <v>339.83</v>
    <v>15981403900</v>
    <v>MONOLITHIC POWER SYSTEMS, INC.</v>
    <v>MONOLITHIC POWER SYSTEMS, INC.</v>
    <v>357.34</v>
    <v>45.296700000000001</v>
    <v>367</v>
    <v>340.45</v>
    <v>46942000</v>
    <v>MPWR</v>
    <v>MONOLITHIC POWER SYSTEMS, INC. (XNAS:MPWR)</v>
    <v>394545</v>
    <v>578147</v>
    <v>2004</v>
  </rv>
  <rv s="2">
    <v>1131</v>
  </rv>
  <rv s="0">
    <v>https://www.bing.com/financeapi/forcetrigger?t=a24gur&amp;q=XNYS%3aTRGP&amp;form=skydnc</v>
    <v>Learn more on Bing</v>
  </rv>
  <rv s="1">
    <v>en-US</v>
    <v>a24gur</v>
    <v>268435456</v>
    <v>1</v>
    <v>Powered by Refinitiv</v>
    <v>0</v>
    <v>TARGA RESOURCES CORP. (XNYS:TRGP)</v>
    <v>2</v>
    <v>3</v>
    <v>Finance</v>
    <v>4</v>
    <v>81.5</v>
    <v>49.82</v>
    <v>2.2989999999999999</v>
    <v>-2.0798999999999999</v>
    <v>-2.8854999999999999E-2</v>
    <v>USD</v>
    <v>Targa Resources Corp. is a midstream infrastructure company in North America. The Company owns, operates, acquires and develops a diversified portfolio of domestic midstream infrastructure assets. The Company operates through two primary segments: Gathering and Processing, and Logistics and Transportation. Its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Its Logistics and Transportation segment includes the activities and assets necessary to convert mixed NGLs into NGL products and also includes other assets and value-added services, such as transporting, storing, fractionating, terminaling, and marketing of NGLs and NGL products.</v>
    <v>2430</v>
    <v>New York Stock Exchange</v>
    <v>XNYS</v>
    <v>XNYS</v>
    <v>1000 LOUISIANA STREET, SUITE 4300, TARGA RESOURCES PARTNERS LP, HOUSTON, TX, 77002 US</v>
    <v>72.319999999999993</v>
    <v>Oil &amp; Gas Related Equipment and Services</v>
    <v>Stock</v>
    <v>44917.737104779684</v>
    <v>1133</v>
    <v>69.95</v>
    <v>15846300637</v>
    <v>TARGA RESOURCES CORP.</v>
    <v>TARGA RESOURCES CORP.</v>
    <v>71.64</v>
    <v>69.319000000000003</v>
    <v>72.08</v>
    <v>70.000100000000003</v>
    <v>226375400</v>
    <v>TRGP</v>
    <v>TARGA RESOURCES CORP. (XNYS:TRGP)</v>
    <v>492047</v>
    <v>1569230</v>
    <v>2005</v>
  </rv>
  <rv s="2">
    <v>1134</v>
  </rv>
  <rv s="0">
    <v>https://www.bing.com/financeapi/forcetrigger?t=a1o9gh&amp;q=XNYS%3aBBY&amp;form=skydnc</v>
    <v>Learn more on Bing</v>
  </rv>
  <rv s="1">
    <v>en-US</v>
    <v>a1o9gh</v>
    <v>268435456</v>
    <v>1</v>
    <v>Powered by Refinitiv</v>
    <v>0</v>
    <v>Best Buy Co., Inc. (XNYS:BBY)</v>
    <v>2</v>
    <v>3</v>
    <v>Finance</v>
    <v>4</v>
    <v>112.96</v>
    <v>60.784999999999997</v>
    <v>1.5107999999999999</v>
    <v>-1.655</v>
    <v>-2.0525999999999999E-2</v>
    <v>USD</v>
    <v>Best Buy Co., Inc. is a provider of consumer technology products and services. The Company offers a range of merchandise and services to its customers, including computing and mobile phones, consumer electronics, appliances, entertainment and other products. Its services include consultation, delivery, design, health-related services, installation, memberships, repair, set-up, technical support, and warranty-related services. The Company's business segments are Domestic and International. Domestic segment includes the operations in all states, districts, and territories of the United States, under various brand names including Best Buy, Best Buy Business, Current Health, Best Buy Health, CST, Geek Squad, GreatCall, Lively, Magnolia and Pacific Kitchen and Home and the domain names bestbuy.com and greatcall.com. The International segment includes all operations in Canada under the brand names Best Buy, Best Buy Express, Best Buy Mobile and Geek Squad and the domain name bestbuy.ca.</v>
    <v>105000</v>
    <v>New York Stock Exchange</v>
    <v>XNYS</v>
    <v>XNYS</v>
    <v>7601 Penn Ave S, RICHFIELD, MN, 55423 US</v>
    <v>80.19</v>
    <v>Specialty Retailers</v>
    <v>Stock</v>
    <v>44917.737019988279</v>
    <v>1136</v>
    <v>78.92</v>
    <v>17840550000</v>
    <v>Best Buy Co., Inc.</v>
    <v>Best Buy Co., Inc.</v>
    <v>79.37</v>
    <v>12.052</v>
    <v>80.63</v>
    <v>78.974999999999994</v>
    <v>221264500</v>
    <v>BBY</v>
    <v>Best Buy Co., Inc. (XNYS:BBY)</v>
    <v>779326</v>
    <v>4117201</v>
    <v>1966</v>
  </rv>
  <rv s="2">
    <v>1137</v>
  </rv>
  <rv s="0">
    <v>https://www.bing.com/financeapi/forcetrigger?t=a1oma2&amp;q=XNYS%3aBALL&amp;form=skydnc</v>
    <v>Learn more on Bing</v>
  </rv>
  <rv s="1">
    <v>en-US</v>
    <v>a1oma2</v>
    <v>268435456</v>
    <v>1</v>
    <v>Powered by Refinitiv</v>
    <v>0</v>
    <v>BALL CORPORATION (XNYS:BALL)</v>
    <v>2</v>
    <v>3</v>
    <v>Finance</v>
    <v>4</v>
    <v>97.99</v>
    <v>46</v>
    <v>0.71699999999999997</v>
    <v>-1.48</v>
    <v>-2.8605000000000002E-2</v>
    <v>USD</v>
    <v>Ball Corporation (Ball) is an aluminum packaging supplier. The Company is focused on suppling aluminum packaging for the beverage, personal care and household products industries. The Company’s sustainable and aluminum packaging products are produced for a various of end uses and are manufactured in facilities worldwide. It also provides aerospace and other technologies and services to governmental and commercial customers within its aerospace segment. The Company's segments include beverage packaging, North and Central America; beverage packaging, Europe, Middle East and Africa (beverage packaging, EMEA); beverage packaging, South America, and aerospace. It produces spacecraft, instruments and sensors, radio frequency systems and components, data exploitation solutions and a range of advanced technologies and products that enable weather prediction and climate change monitoring. It provides solutions to multinational beverage, personal care and household products companies.</v>
    <v>24300</v>
    <v>New York Stock Exchange</v>
    <v>XNYS</v>
    <v>XNYS</v>
    <v>9200 W. 108Th Circle, WESTMINSTER, CO, 80021 US</v>
    <v>51.46</v>
    <v>Containers &amp; Packaging</v>
    <v>Stock</v>
    <v>44917.737114825781</v>
    <v>1139</v>
    <v>50.26</v>
    <v>15777624226</v>
    <v>BALL CORPORATION</v>
    <v>BALL CORPORATION</v>
    <v>51.46</v>
    <v>17.6843</v>
    <v>51.74</v>
    <v>50.26</v>
    <v>313920100</v>
    <v>BALL</v>
    <v>BALL CORPORATION (XNYS:BALL)</v>
    <v>314948</v>
    <v>1821697</v>
    <v>1922</v>
  </rv>
  <rv s="2">
    <v>1140</v>
  </rv>
  <rv s="0">
    <v>https://www.bing.com/financeapi/forcetrigger?t=a1tdvh&amp;q=XNAS%3aFSLR&amp;form=skydnc</v>
    <v>Learn more on Bing</v>
  </rv>
  <rv s="1">
    <v>en-US</v>
    <v>a1tdvh</v>
    <v>268435456</v>
    <v>1</v>
    <v>Powered by Refinitiv</v>
    <v>0</v>
    <v>FIRST SOLAR, INC. (XNAS:FSLR)</v>
    <v>2</v>
    <v>3</v>
    <v>Finance</v>
    <v>4</v>
    <v>173.68</v>
    <v>59.6</v>
    <v>1.2824</v>
    <v>-5.58</v>
    <v>-3.4431999999999997E-2</v>
    <v>USD</v>
    <v>First Solar, Inc. is a solar technology company and global provider of photovoltaic cells (PV) solar energy solutions. The Company manufactures and sells PV solar modules with a semiconductor technology, which provides an alternative to conventional crystalline silicon PV solar modules. The Company operates through two segments: Modules Business and Other. Its Modules Business segment is involved in the designing, manufacturing, and selling of CdTe solar modules, which convert sunlight into electricity. Third-party customers of the modules business segment include developers and operators of PV solar power systems. The Company's products include Series 7 Module and Series 6 Module. The Company has its manufacturing locations in Malaysia, the United States and Vietnam. It has its offices in Houston, San Francisco, Mexico, Brazil, Brussels, Frankfurt, Frankfurt (Oder), Singapore, Tokyo and New Delhi.</v>
    <v>4800</v>
    <v>Nasdaq Stock Market</v>
    <v>XNAS</v>
    <v>XNAS</v>
    <v>SUITE 600, 350 WEST WASHINGTON STREET, TEMPE, AZ, 85281 US</v>
    <v>161.49639999999999</v>
    <v>Renewable Energy</v>
    <v>Stock</v>
    <v>44917.737071272655</v>
    <v>1142</v>
    <v>155.19999999999999</v>
    <v>17276510000</v>
    <v>FIRST SOLAR, INC.</v>
    <v>FIRST SOLAR, INC.</v>
    <v>160.97999999999999</v>
    <v>184.03360000000001</v>
    <v>162.06</v>
    <v>156.47999999999999</v>
    <v>106605600</v>
    <v>FSLR</v>
    <v>FIRST SOLAR, INC. (XNAS:FSLR)</v>
    <v>1029535</v>
    <v>3325242</v>
    <v>2003</v>
  </rv>
  <rv s="2">
    <v>1143</v>
  </rv>
  <rv s="0">
    <v>https://www.bing.com/financeapi/forcetrigger?t=a1z7mw&amp;q=XNYS%3aOMC&amp;form=skydnc</v>
    <v>Learn more on Bing</v>
  </rv>
  <rv s="1">
    <v>en-US</v>
    <v>a1z7mw</v>
    <v>268435456</v>
    <v>1</v>
    <v>Powered by Refinitiv</v>
    <v>0</v>
    <v>OMNICOM GROUP INC. (XNYS:OMC)</v>
    <v>2</v>
    <v>3</v>
    <v>Finance</v>
    <v>4</v>
    <v>91.61</v>
    <v>61.31</v>
    <v>0.87860000000000005</v>
    <v>-1.51</v>
    <v>-1.917E-2</v>
    <v>USD</v>
    <v>Omnicom Group Inc. is a global marketing and corporate communications company. The Company provides advertising, strategic media planning and buying, digital and interactive marketing, direct and promotional marketing, public relations and other specialty communications services. The Company’s service includes investor relations, branding, marketing research, content marketing, media planning and buying, corporate social responsibility consulting, merchandising and point of sale, crisis communications, mobile marketing, custom publishing, multi-cultural marketing, data analytics, non-profit marketing, database management, organizational communications, digital/direct marketing, package design, digital transformation, product placement, entertainment, marketing, promotional marketing, graphic arts/digital imaging, instore design, interactive marketing, social media marketing, sales support, search engine marketing, shopper marketing and sports and event marketing.</v>
    <v>71700</v>
    <v>New York Stock Exchange</v>
    <v>XNYS</v>
    <v>XNYS</v>
    <v>280 Park Avenue, NEW YORK, NY, 10017 US</v>
    <v>78.44</v>
    <v>Media &amp; Publishing</v>
    <v>Stock</v>
    <v>44917.737096457815</v>
    <v>1145</v>
    <v>77.245000000000005</v>
    <v>15754557886</v>
    <v>OMNICOM GROUP INC.</v>
    <v>OMNICOM GROUP INC.</v>
    <v>78.02</v>
    <v>12.845000000000001</v>
    <v>78.77</v>
    <v>77.260000000000005</v>
    <v>203916100</v>
    <v>OMC</v>
    <v>OMNICOM GROUP INC. (XNYS:OMC)</v>
    <v>370544</v>
    <v>1538221</v>
    <v>1944</v>
  </rv>
  <rv s="2">
    <v>1146</v>
  </rv>
  <rv s="0">
    <v>https://www.bing.com/financeapi/forcetrigger?t=a1ossm&amp;q=XNYS%3aBR&amp;form=skydnc</v>
    <v>Learn more on Bing</v>
  </rv>
  <rv s="1">
    <v>en-US</v>
    <v>a1ossm</v>
    <v>268435456</v>
    <v>1</v>
    <v>Powered by Refinitiv</v>
    <v>0</v>
    <v>BROADRIDGE FINANCIAL SOLUTIONS, INC. (XNYS:BR)</v>
    <v>2</v>
    <v>3</v>
    <v>Finance</v>
    <v>4</v>
    <v>185.4</v>
    <v>131.35</v>
    <v>0.93469999999999998</v>
    <v>-3.12</v>
    <v>-2.2886000000000004E-2</v>
    <v>USD</v>
    <v>Broadridge Financial Solutions, Inc. is a global financial technology company. The Company provides investor communications and technology-driven solutions. Its segments include Investor Communication Solutions (ICS) and Global Technology and Operations (GTO). The ICS segment provides Regulatory Solutions, Data-Driven Fund Solutions, Corporate Issuer Solutions, and Customer Communications Solutions. This segment business involves the processing and distribution of proxy materials to investors in equity securities and mutual funds, as well as the facilitation of related vote processing. The GTO business provides solutions that automate the front-to-back transaction lifecycle of equity, mutual fund, fixed income, foreign exchange and exchange-traded derivatives, from order capture and execution through trade confirmation, cash management, clearing and settlement, reconciliations, reference data management, securities financing and collateral management and custody-related services.</v>
    <v>14300</v>
    <v>New York Stock Exchange</v>
    <v>XNYS</v>
    <v>XNYS</v>
    <v>5 Dakota Drive, LAKE SUCCESS, NY, 11042 US</v>
    <v>134.91</v>
    <v>Professional &amp; Commercial Services</v>
    <v>Stock</v>
    <v>44917.737095346878</v>
    <v>1148</v>
    <v>133.21</v>
    <v>15672862513</v>
    <v>BROADRIDGE FINANCIAL SOLUTIONS, INC.</v>
    <v>BROADRIDGE FINANCIAL SOLUTIONS, INC.</v>
    <v>134.91</v>
    <v>30.9543</v>
    <v>136.33000000000001</v>
    <v>133.21</v>
    <v>117655300</v>
    <v>BR</v>
    <v>BROADRIDGE FINANCIAL SOLUTIONS, INC. (XNYS:BR)</v>
    <v>164105</v>
    <v>638194</v>
    <v>2006</v>
  </rv>
  <rv s="2">
    <v>1149</v>
  </rv>
  <rv s="0">
    <v>https://www.bing.com/financeapi/forcetrigger?t=a1q5hw&amp;q=XNYS%3aCOO&amp;form=skydnc</v>
    <v>Learn more on Bing</v>
  </rv>
  <rv s="1">
    <v>en-US</v>
    <v>a1q5hw</v>
    <v>268435456</v>
    <v>1</v>
    <v>Powered by Refinitiv</v>
    <v>0</v>
    <v>THE COOPER COMPANIES, INC. (XNYS:COO)</v>
    <v>2</v>
    <v>3</v>
    <v>Finance</v>
    <v>4</v>
    <v>430.67</v>
    <v>244.215</v>
    <v>0.9214</v>
    <v>-3.0950000000000002</v>
    <v>-9.4160000000000008E-3</v>
    <v>USD</v>
    <v>The Cooper Companies, Inc. is a global medical device company. The Company operates through two segments: CooperVision and CooperSurgical. CooperVision segment is engaged in developing, manufacturing and marketing a range of products for contact lens wearers, featuring advanced materials and optics. CooperVision segment designs its products to solve vision challenges, such as astigmatism, presbyopia, myopia, ocular dryness and eye fatigue, with a broad collection of spherical, toric and multifocal contact lenses. CooperSurgical segment focus on advancing the health of women, babies and families through a diversified portfolio of products and services focusing on women's health and fertility. CooperSurgical segment supplies the family health care market with a diversified portfolio of products and services. Its office and surgical offerings include products that facilitate surgical and non-surgical procedures that are commonly performed primarily by obstetricians and gynecologists.</v>
    <v>14000</v>
    <v>New York Stock Exchange</v>
    <v>XNYS</v>
    <v>XNYS</v>
    <v>6101 Bollinger Canyon Road, Suite 500, SAN RAMON, CA, 94583 US</v>
    <v>330.42</v>
    <v>Healthcare Equipment &amp; Supplies</v>
    <v>Stock</v>
    <v>44917.736652846877</v>
    <v>1151</v>
    <v>322.63</v>
    <v>16069539356</v>
    <v>THE COOPER COMPANIES, INC.</v>
    <v>THE COOPER COMPANIES, INC.</v>
    <v>328.38</v>
    <v>42.3521</v>
    <v>328.69</v>
    <v>325.59500000000003</v>
    <v>49354380</v>
    <v>COO</v>
    <v>THE COOPER COMPANIES, INC. (XNYS:COO)</v>
    <v>92606</v>
    <v>376864</v>
    <v>1980</v>
  </rv>
  <rv s="2">
    <v>1152</v>
  </rv>
  <rv s="0">
    <v>https://www.bing.com/financeapi/forcetrigger?t=a1nwgh&amp;q=XNYS%3aATO&amp;form=skydnc</v>
    <v>Learn more on Bing</v>
  </rv>
  <rv s="1">
    <v>en-US</v>
    <v>a1nwgh</v>
    <v>268435456</v>
    <v>1</v>
    <v>Powered by Refinitiv</v>
    <v>0</v>
    <v>ATMOS ENERGY CORPORATION (XNYS:ATO)</v>
    <v>2</v>
    <v>3</v>
    <v>Finance</v>
    <v>4</v>
    <v>122.955</v>
    <v>97.71</v>
    <v>0.57740000000000002</v>
    <v>-2.2949999999999999</v>
    <v>-2.0030000000000003E-2</v>
    <v>USD</v>
    <v>Atmos Energy Corporation is engaged in the regulated natural gas distribution and pipeline and storage businesses. The Company distributes natural gas through sales and transportation arrangements to over three million residential, commercial, public authority and industrial customers throughout its six distribution divisions. It also transports natural gas for others through its distribution and pipeline systems. It operates through two segments: Distribution and Pipeline and Storage. The Distribution segment includes its regulated natural gas distribution and related sales operations in eight states. Its Pipeline and Storage segment consists of the pipeline and storage operations of its Atmos Pipeline-Texas Division (APT) and its natural gas transmission operations in Louisiana. APT provides transportation and storage services to its Mid-Tex Division, other third-party local distribution companies, industrial and electric generation customers, as well as marketers and producers.</v>
    <v>4791</v>
    <v>New York Stock Exchange</v>
    <v>XNYS</v>
    <v>XNYS</v>
    <v>5430 Lbj Freeway, 1800 Three Lincoln Ctr, DALLAS, TX, 75240 US</v>
    <v>114.16</v>
    <v>Natural Gas Utilities</v>
    <v>Stock</v>
    <v>44917.737026481249</v>
    <v>1154</v>
    <v>112.285</v>
    <v>15833981560</v>
    <v>ATMOS ENERGY CORPORATION</v>
    <v>ATMOS ENERGY CORPORATION</v>
    <v>114.16</v>
    <v>20.402799999999999</v>
    <v>114.58</v>
    <v>112.285</v>
    <v>141016000</v>
    <v>ATO</v>
    <v>ATMOS ENERGY CORPORATION (XNYS:ATO)</v>
    <v>142278</v>
    <v>1071557</v>
    <v>1981</v>
  </rv>
  <rv s="2">
    <v>1155</v>
  </rv>
  <rv s="0">
    <v>https://www.bing.com/financeapi/forcetrigger?t=a1xv4c&amp;q=XNYS%3aMOS&amp;form=skydnc</v>
    <v>Learn more on Bing</v>
  </rv>
  <rv s="1">
    <v>en-US</v>
    <v>a1xv4c</v>
    <v>268435456</v>
    <v>1</v>
    <v>Powered by Refinitiv</v>
    <v>0</v>
    <v>THE MOSAIC COMPANY (XNYS:MOS)</v>
    <v>2</v>
    <v>3</v>
    <v>Finance</v>
    <v>4</v>
    <v>79.28</v>
    <v>37.08</v>
    <v>1.5266</v>
    <v>-1.81</v>
    <v>-3.9477000000000005E-2</v>
    <v>USD</v>
    <v>The Mosaic Company is a producer and marketer of concentrated phosphate and potash crop nutrients. Its segments include Phosphates, Potash and Mosaic Fertilizantes. The Phosphates business segment owns and operates mines and production facilities in Florida, which produces concentrated phosphate crop nutrients and phosphate-based animal feed ingredients and processing plants in Louisiana, which produces concentrated phosphate crop nutrients. The Potash business segment owns and operates potash mines and production facilities in Canada and the United States, which produces potash-based crop nutrients, animal feed ingredients and industrial products. The Mosaic Fertilizantes business segment includes five Brazilian phosphate rock mines, four phosphate chemical plants and a potash mine in Brazil. It also includes its distribution business in South America, which consists of sales offices, crop nutrient blending and bagging facilities, port terminals and warehouses in Brazil and Paraguay.</v>
    <v>12525</v>
    <v>New York Stock Exchange</v>
    <v>XNYS</v>
    <v>XNYS</v>
    <v>101 East Kennedy Blvd., Suite 2500, TAMPA, FL, 33602 US</v>
    <v>45.42</v>
    <v>Chemicals</v>
    <v>Stock</v>
    <v>44917.737043275003</v>
    <v>1157</v>
    <v>43.99</v>
    <v>15611060000</v>
    <v>THE MOSAIC COMPANY</v>
    <v>THE MOSAIC COMPANY</v>
    <v>45.42</v>
    <v>4.4824000000000002</v>
    <v>45.85</v>
    <v>44.04</v>
    <v>340481000</v>
    <v>MOS</v>
    <v>THE MOSAIC COMPANY (XNYS:MOS)</v>
    <v>1131589</v>
    <v>3673498</v>
    <v>2004</v>
  </rv>
  <rv s="2">
    <v>1158</v>
  </rv>
  <rv s="0">
    <v>https://www.bing.com/financeapi/forcetrigger?t=a1t4c7&amp;q=XNYS%3aFMC&amp;form=skydnc</v>
    <v>Learn more on Bing</v>
  </rv>
  <rv s="1">
    <v>en-US</v>
    <v>a1t4c7</v>
    <v>268435456</v>
    <v>1</v>
    <v>Powered by Refinitiv</v>
    <v>0</v>
    <v>FMC CORPORATION (XNYS:FMC)</v>
    <v>2</v>
    <v>3</v>
    <v>Finance</v>
    <v>4</v>
    <v>140.99</v>
    <v>98.24</v>
    <v>0.84970000000000001</v>
    <v>-2</v>
    <v>-1.5987999999999999E-2</v>
    <v>USD</v>
    <v>FMC Corporation is an agricultural sciences company, which provides solutions to growers with a product portfolio fueled by a market-driven discovery and development pipeline in crop protection, crop enhancement, and professional pest and turf management. The Company’s crop protection solutions, including biologicals, crop nutrition, digital, and precision agriculture. Its portfolio is comprised of three pesticide categories, including insecticides, herbicides, and fungicides. Its insecticides are used to control a pest, while its herbicide portfolio is used to control weeds. Its herbicides are used in the protection of crops including soybeans, corn, fruits and vegetables, cotton, sugarcane, rice, and cereals. It also provides Plant Health program, which includes biological crop protection products, seed treatments, and micro-nutrients. Its product portfolio includes insect control products based on Rynaxypyr (Chlorantraniliprole) and Cyazypyr (Cyantraniliprole) active ingredients.</v>
    <v>6400</v>
    <v>New York Stock Exchange</v>
    <v>XNYS</v>
    <v>XNYS</v>
    <v>2929 Walnut Street, PHILADELPHIA, PA, 19104 US</v>
    <v>125.14</v>
    <v>Chemicals</v>
    <v>Stock</v>
    <v>44917.737051527343</v>
    <v>1160</v>
    <v>123.09</v>
    <v>15757080000</v>
    <v>FMC CORPORATION</v>
    <v>FMC CORPORATION</v>
    <v>124.24</v>
    <v>21.706700000000001</v>
    <v>125.09</v>
    <v>123.09</v>
    <v>125965900</v>
    <v>FMC</v>
    <v>FMC CORPORATION (XNYS:FMC)</v>
    <v>121536</v>
    <v>743566</v>
    <v>1928</v>
  </rv>
  <rv s="2">
    <v>1161</v>
  </rv>
  <rv s="0">
    <v>https://www.bing.com/financeapi/forcetrigger?t=a24mnm&amp;q=XNAS%3aTTWO&amp;form=skydnc</v>
    <v>Learn more on Bing</v>
  </rv>
  <rv s="1">
    <v>en-US</v>
    <v>a24mnm</v>
    <v>268435456</v>
    <v>1</v>
    <v>Powered by Refinitiv</v>
    <v>0</v>
    <v>TAKE-TWO INTERACTIVE SOFTWARE, INC. (XNAS:TTWO)</v>
    <v>2</v>
    <v>3</v>
    <v>Finance</v>
    <v>4</v>
    <v>182.25</v>
    <v>90</v>
    <v>0.76039999999999996</v>
    <v>-2.2050000000000001</v>
    <v>-2.2075999999999998E-2</v>
    <v>USD</v>
    <v>Take-Two Interactive Software, Inc. is a developer, publisher, and marketer of interactive entertainment for consumers around the globe. The Company develops and publishes products principally through Rockstar Games, 2K, Private Division, and T2 Mobile Games. Its products are designed for console gaming systems, including Sony's PlayStation 4 and PlayStation 5; Microsoft's Xbox One and Xbox Series XS; and Nintendo's Switch, as well as personal computers (PC), and mobile, including smartphones and tablets. The Company delivers its products through physical retail, digital download, online platforms, and cloud streaming services. The Company is focused on publishing a select number of titles based on internally owned and developed intellectual properties. In addition, it selectively develops titles based on licensed properties, including sports leagues, and also publishes externally developed titles.</v>
    <v>7799</v>
    <v>Nasdaq Stock Market</v>
    <v>XNAS</v>
    <v>XNAS</v>
    <v>110 West 44Th Street, NEW YORK, NY, 10036 US</v>
    <v>99.76</v>
    <v>Leisure Products</v>
    <v>Stock</v>
    <v>44917.737094409378</v>
    <v>1163</v>
    <v>97.564999999999998</v>
    <v>16391730592</v>
    <v>TAKE-TWO INTERACTIVE SOFTWARE, INC.</v>
    <v>TAKE-TWO INTERACTIVE SOFTWARE, INC.</v>
    <v>98.92</v>
    <v>71.5261</v>
    <v>99.88</v>
    <v>97.674999999999997</v>
    <v>167819100</v>
    <v>TTWO</v>
    <v>TAKE-TWO INTERACTIVE SOFTWARE, INC. (XNAS:TTWO)</v>
    <v>743115</v>
    <v>2024192</v>
    <v>1993</v>
  </rv>
  <rv s="2">
    <v>1164</v>
  </rv>
  <rv s="0">
    <v>https://www.bing.com/financeapi/forcetrigger?t=a1wh27&amp;q=XNYS%3aKEY&amp;form=skydnc</v>
    <v>Learn more on Bing</v>
  </rv>
  <rv s="1">
    <v>en-US</v>
    <v>a1wh27</v>
    <v>268435456</v>
    <v>1</v>
    <v>Powered by Refinitiv</v>
    <v>0</v>
    <v>KEYCORP (XNYS:KEY)</v>
    <v>2</v>
    <v>3</v>
    <v>Finance</v>
    <v>4</v>
    <v>27.17</v>
    <v>15.255000000000001</v>
    <v>1.2974000000000001</v>
    <v>-0.22500000000000001</v>
    <v>-1.3266999999999999E-2</v>
    <v>USD</v>
    <v>KeyCorp is a bank-based financial services company, which operates through its subsidiary, KeyBank National Association (KeyBank). Through, KeyBank and certain other subsidiaries, it provides a range of retail and commercial banking, commercial leasing, investment management, consumer finance, student loan refinancing, commercial mortgage servicing and special servicing, and investment banking products and services to individual, corporate, and institutional clients. The Company's Consumer Bank serves individuals and small businesses by offering a range of deposit and investment products, personal finance and financial wellness services, lending, credit card and business advisory services, among others. Its Commercial Bank is an aggregation of its Institutional and Commercial operating segments. The Institutional operating segment delivers a suite of banking and capital markets products to its clients. The Commercial operating segment serves the needs of middle market clients.</v>
    <v>17477</v>
    <v>New York Stock Exchange</v>
    <v>XNYS</v>
    <v>XNYS</v>
    <v>127 Public Sq, CLEVELAND, OH, 44114-1306 US</v>
    <v>16.895</v>
    <v>Banking Services</v>
    <v>Stock</v>
    <v>44917.737109501562</v>
    <v>1166</v>
    <v>16.72</v>
    <v>15613246256</v>
    <v>KEYCORP</v>
    <v>KEYCORP</v>
    <v>16.809999999999999</v>
    <v>7.7670000000000003</v>
    <v>16.96</v>
    <v>16.734999999999999</v>
    <v>932969600</v>
    <v>KEY</v>
    <v>KEYCORP (XNYS:KEY)</v>
    <v>3090409</v>
    <v>11076567</v>
    <v>1958</v>
  </rv>
  <rv s="2">
    <v>1167</v>
  </rv>
  <rv s="0">
    <v>https://www.bing.com/financeapi/forcetrigger?t=a1w36h&amp;q=XNYS%3aJ&amp;form=skydnc</v>
    <v>Learn more on Bing</v>
  </rv>
  <rv s="1">
    <v>en-US</v>
    <v>a1w36h</v>
    <v>268435456</v>
    <v>1</v>
    <v>Powered by Refinitiv</v>
    <v>0</v>
    <v>JACOBS SOLUTIONS INC. (XNYS:J)</v>
    <v>2</v>
    <v>3</v>
    <v>Finance</v>
    <v>4</v>
    <v>150.32</v>
    <v>106.78</v>
    <v>0.88470000000000004</v>
    <v>-2.75</v>
    <v>-2.2671E-2</v>
    <v>USD</v>
    <v>Jacobs Solutions Inc. provides a range of engineering design, and architectural services; construction and construction management services; operations and maintenance services; and technical, digital, process, scientific and systems consulting process, scientific, and systems consulting services. Its segments include Critical Mission Solutions (CMS), People &amp; Places Solutions (P&amp;PS), and PA Consulting. CMS segment provides a range of cyber, data analytics, systems and software application integration services and consulting, enterprise level operations and maintenance and mission information technology, engineering and design, and enterprise operations and maintenance. P&amp;PS segment provides end-to-end solutions for clients, such as climate change, energy transition, connected mobility, integrated water management, and smart cities/vaccine manufacturing. PA Consulting segment provides consultancy services to various sectors, such as financial services, government and transport.</v>
    <v>60000</v>
    <v>New York Stock Exchange</v>
    <v>XNYS</v>
    <v>XNYS</v>
    <v>1999 Bryan Street, Suite 1200, DALLAS, TX, 75201 US</v>
    <v>120.8334</v>
    <v>Construction &amp; Engineering</v>
    <v>Stock</v>
    <v>44917.736697407032</v>
    <v>1169</v>
    <v>118.55</v>
    <v>15009769615</v>
    <v>JACOBS SOLUTIONS INC.</v>
    <v>JACOBS SOLUTIONS INC.</v>
    <v>120.55</v>
    <v>24.338999999999999</v>
    <v>121.3</v>
    <v>118.55</v>
    <v>126611300</v>
    <v>J</v>
    <v>JACOBS SOLUTIONS INC. (XNYS:J)</v>
    <v>72026</v>
    <v>551451</v>
    <v>2022</v>
  </rv>
  <rv s="2">
    <v>1170</v>
  </rv>
  <rv s="0">
    <v>https://www.bing.com/financeapi/forcetrigger?t=a1x7im&amp;q=XNYS%3aLVS&amp;form=skydnc</v>
    <v>Learn more on Bing</v>
  </rv>
  <rv s="1">
    <v>en-US</v>
    <v>a1x7im</v>
    <v>268435456</v>
    <v>1</v>
    <v>Powered by Refinitiv</v>
    <v>0</v>
    <v>LAS VEGAS SANDS CORP. (XNYS:LVS)</v>
    <v>2</v>
    <v>3</v>
    <v>Finance</v>
    <v>4</v>
    <v>49.73</v>
    <v>28.875</v>
    <v>1.1554</v>
    <v>-0.69</v>
    <v>-1.4715000000000001E-2</v>
    <v>USD</v>
    <v>Las Vegas Sands Corp. is a global developer of destination properties (Integrated Resorts). The Integrated Resorts features accommodations, gaming, entertainment and retail malls, convention and exhibition facilities, celebrity chef restaurants, and other amenities. The Company owns and operates Integrated Resorts in Asia and the United States. Its principal operating and developmental activities occur in three geographic areas: Macao, Singapore, and the United States. In Macao, its segments include The Venetian Macao; The Londoner Macao; The Parisian Macao; The Plaza Macao and Four Seasons Macao; and Sands Macao. In Singapore, its segment is Marina Bay Sands. In the United States, its segment is the Las Vegas Operating Properties. It owns and operates a collection of Integrated Resorts in Macao of the People's Republic of China (China), through Sands China Ltd. It also offers players club loyalty programs at its properties that offer rewards, privileges, and members-only events.</v>
    <v>44500</v>
    <v>New York Stock Exchange</v>
    <v>XNYS</v>
    <v>XNYS</v>
    <v>5500 Haven Street, LAS VEGAS, NV, 89119 US</v>
    <v>47.215000000000003</v>
    <v>Hotels &amp; Entertainment Services</v>
    <v>Stock</v>
    <v>44917.737039224216</v>
    <v>1172</v>
    <v>46.19</v>
    <v>35304483060</v>
    <v>LAS VEGAS SANDS CORP.</v>
    <v>LAS VEGAS SANDS CORP.</v>
    <v>46.87</v>
    <v>0</v>
    <v>46.89</v>
    <v>46.2</v>
    <v>764166300</v>
    <v>LVS</v>
    <v>LAS VEGAS SANDS CORP. (XNYS:LVS)</v>
    <v>1166220</v>
    <v>5271574</v>
    <v>2004</v>
  </rv>
  <rv s="2">
    <v>1173</v>
  </rv>
  <rv s="0">
    <v>https://www.bing.com/financeapi/forcetrigger?t=a1nkur&amp;q=XNAS%3aAPA&amp;form=skydnc</v>
    <v>Learn more on Bing</v>
  </rv>
  <rv s="1">
    <v>en-US</v>
    <v>a1nkur</v>
    <v>268435456</v>
    <v>1</v>
    <v>Powered by Refinitiv</v>
    <v>0</v>
    <v>APA CORPORATION (XNAS:APA)</v>
    <v>2</v>
    <v>3</v>
    <v>Finance</v>
    <v>4</v>
    <v>51.95</v>
    <v>24.88</v>
    <v>3.6034999999999999</v>
    <v>-2.2599999999999998</v>
    <v>-4.8425000000000003E-2</v>
    <v>USD</v>
    <v>APA Corporation is an independent energy company that explores for, develops, and produces natural gas, crude oil, and natural gas liquids (NGLs). Its upstream business has exploration and production operations in three geographic areas: the United States (U.S.), Egypt, and offshore the United Kingdom (U.K.) in the North Sea (North Sea). It has exploration, and appraisal operations in Suriname, as well as interests in other international locations. The Company’s midstream business (Altus Midstream) is operated by Altus Midstream Company through its subsidiary Altus Midstream LP (collectively, Altus). Altus owns, develops, and operates a midstream energy asset network in the Permian Basin of West Texas. It holds approximately 332,000 gross acres (238,000 net acres) in the Southern Midland Basin. It holds approximately 267,000 gross acres (134,000 net acres) in the Delaware Basin. The Company also approximately 3.2 million gross acres (1.5 million net acres) in legacy properties.</v>
    <v>2253</v>
    <v>Nasdaq Stock Market</v>
    <v>XNAS</v>
    <v>XNAS</v>
    <v>2000 Post Oak Blvd, Suite 100, HOUSTON, TX, 77056 US</v>
    <v>46.822200000000002</v>
    <v>Oil &amp; Gas</v>
    <v>Stock</v>
    <v>44917.737129166409</v>
    <v>1175</v>
    <v>44.33</v>
    <v>14278339037</v>
    <v>APA CORPORATION</v>
    <v>APA CORPORATION</v>
    <v>46.67</v>
    <v>4.4595000000000002</v>
    <v>46.67</v>
    <v>44.41</v>
    <v>321511800</v>
    <v>APA</v>
    <v>APA CORPORATION (XNAS:APA)</v>
    <v>2578608</v>
    <v>6486974</v>
    <v>2021</v>
  </rv>
  <rv s="2">
    <v>1176</v>
  </rv>
  <rv s="0">
    <v>https://www.bing.com/financeapi/forcetrigger?t=a1sqcw&amp;q=XNYS%3aFDS&amp;form=skydnc</v>
    <v>Learn more on Bing</v>
  </rv>
  <rv s="1">
    <v>en-US</v>
    <v>a1sqcw</v>
    <v>268435456</v>
    <v>1</v>
    <v>Powered by Refinitiv</v>
    <v>0</v>
    <v>FACTSET RESEARCH SYSTEMS INC. (XNYS:FDS)</v>
    <v>2</v>
    <v>3</v>
    <v>Finance</v>
    <v>4</v>
    <v>495.39499999999998</v>
    <v>345.92</v>
    <v>0.81730000000000003</v>
    <v>-10.43</v>
    <v>-2.5784999999999999E-2</v>
    <v>USD</v>
    <v>FactSet Research Systems Inc. is a global financial data and analytics company. The Company provides financial data and market intelligence on securities, companies and industries to enable its clients to research investment ideas, as well as offering them the capabilities to analyze, monitor and manage their portfolios. The Company also offers technologies, such as a configurable desktop and mobile platform, comprehensive data feeds, cloud-based digital solutions, and application programming interfaces (APIs). Its solutions span investment research, portfolio construction and analysis, trade execution, performance measurement, risk management, and reporting across the investment lifecycle. The Company operates through three geographical segments: the Americas, EMEA and Asia Pacific. It primarily delivers insight and information through its three workflow solutions: Research &amp; Advisory; Analytics &amp; Trading; and Content &amp; Technology (CTS).</v>
    <v>11203</v>
    <v>New York Stock Exchange</v>
    <v>XNYS</v>
    <v>XNYS</v>
    <v>45 Glover Avenue, NORWALK, CT, 06850 US</v>
    <v>402.27499999999998</v>
    <v>Professional &amp; Commercial Services</v>
    <v>Stock</v>
    <v>44917.736772615623</v>
    <v>1178</v>
    <v>393.82</v>
    <v>15013365555</v>
    <v>FACTSET RESEARCH SYSTEMS INC.</v>
    <v>FACTSET RESEARCH SYSTEMS INC.</v>
    <v>402.27499999999998</v>
    <v>36.922400000000003</v>
    <v>404.5</v>
    <v>394.07</v>
    <v>38098220</v>
    <v>FDS</v>
    <v>FACTSET RESEARCH SYSTEMS INC. (XNYS:FDS)</v>
    <v>53946</v>
    <v>274751</v>
    <v>1984</v>
  </rv>
  <rv s="2">
    <v>1179</v>
  </rv>
  <rv s="0">
    <v>https://www.bing.com/financeapi/forcetrigger?t=a1zha2&amp;q=XNYS%3aPAYC&amp;form=skydnc</v>
    <v>Learn more on Bing</v>
  </rv>
  <rv s="1">
    <v>en-US</v>
    <v>a1zha2</v>
    <v>268435456</v>
    <v>1</v>
    <v>Powered by Refinitiv</v>
    <v>0</v>
    <v>PAYCOM SOFTWARE, INC. (XNYS:PAYC)</v>
    <v>2</v>
    <v>3</v>
    <v>Finance</v>
    <v>4</v>
    <v>429.93</v>
    <v>255.82</v>
    <v>1.3748</v>
    <v>-13.84</v>
    <v>-4.4593000000000001E-2</v>
    <v>USD</v>
    <v>Paycom Software, Inc. is a provider of cloud-based human capital management (HCM) solutions delivered as software-as-a-service (SaaS). The Company provides functionality and data analytics that businesses need to manage the complete employment life cycle from recruitment to retirement. The Company's applications streamline client processes and provide clients and their employees with the ability to directly access and manage administrative processes, including applications that identify candidates, on-board employees, manage time and labor, administer payroll deductions and benefits, manage performance, terminate employees and administer post-termination health benefits, such as COBRA. Its solution allows clients to analyze employee information to make business decisions. Its HCM solution offers a range of applications, including talent acquisition, time and labor management, payroll, talent management and human resources (HR) management applications.</v>
    <v>5385</v>
    <v>New York Stock Exchange</v>
    <v>XNYS</v>
    <v>XNYS</v>
    <v>7501 W Memorial Rd, OKLAHOMA CITY, OK, 73142 US</v>
    <v>305.07</v>
    <v>Software &amp; IT Services</v>
    <v>Stock</v>
    <v>44917.737105763284</v>
    <v>1181</v>
    <v>295.02999999999997</v>
    <v>17158562719</v>
    <v>PAYCOM SOFTWARE, INC.</v>
    <v>PAYCOM SOFTWARE, INC.</v>
    <v>305.07</v>
    <v>72.140199999999993</v>
    <v>310.36</v>
    <v>296.52</v>
    <v>57866460</v>
    <v>PAYC</v>
    <v>PAYCOM SOFTWARE, INC. (XNYS:PAYC)</v>
    <v>152822</v>
    <v>415383</v>
    <v>2013</v>
  </rv>
  <rv s="2">
    <v>1182</v>
  </rv>
  <rv s="0">
    <v>https://www.bing.com/financeapi/forcetrigger?t=a25zz2&amp;q=XNYS%3aWRB&amp;form=skydnc</v>
    <v>Learn more on Bing</v>
  </rv>
  <rv s="1">
    <v>en-US</v>
    <v>a25zz2</v>
    <v>268435456</v>
    <v>1</v>
    <v>Powered by Refinitiv</v>
    <v>0</v>
    <v>W. R. BERKLEY CORPORATION (XNYS:WRB)</v>
    <v>2</v>
    <v>3</v>
    <v>Finance</v>
    <v>4</v>
    <v>76.989999999999995</v>
    <v>52.333500000000001</v>
    <v>0.63870000000000005</v>
    <v>-1.2150000000000001</v>
    <v>-1.6448000000000001E-2</v>
    <v>USD</v>
    <v>W. R. Berkley Corporation is an insurance holding company, which is a commercial lines writer in the United States. The Company operates in two segments of the property casualty insurance business. Insurance segment is engaged in a predominantly commercial insurance business, including excess and surplus lines, admitted lines and specialty personal lines throughout the United States, as well as insurance business in the United Kingdom, Continental Europe, South America, Canada, Mexico, Scandinavia, Asia and Australia. Reinsurance &amp; Monoline Excess segment is engaged in reinsurance business on a facultative and treaty basis, primarily in the United States, the United Kingdom, Continental Europe, Australia, the Asia-Pacific region and South Africa, as well as operations that solely retain risk on an excess basis. The segment consists of business units, including Berkley Re America, Berkley Re Asia Pacific, Berkley Re Solutions, Berkley Re UK and Midwest Employers Casualty.</v>
    <v>7681</v>
    <v>New York Stock Exchange</v>
    <v>XNYS</v>
    <v>XNYS</v>
    <v>475 Steamboat Rd, GREENWICH, CT, 06830-7144 US</v>
    <v>74.234999999999999</v>
    <v>Insurance</v>
    <v>Stock</v>
    <v>44917.737046075781</v>
    <v>1184</v>
    <v>72.59</v>
    <v>19288166045</v>
    <v>W. R. BERKLEY CORPORATION</v>
    <v>W. R. BERKLEY CORPORATION</v>
    <v>73.665000000000006</v>
    <v>17.2439</v>
    <v>73.87</v>
    <v>72.655000000000001</v>
    <v>265476100</v>
    <v>WRB</v>
    <v>W. R. BERKLEY CORPORATION (XNYS:WRB)</v>
    <v>243999</v>
    <v>1227000</v>
    <v>1970</v>
  </rv>
  <rv s="2">
    <v>1185</v>
  </rv>
  <rv s="0">
    <v>https://www.bing.com/financeapi/forcetrigger?t=a23v7w&amp;q=XNYS%3aSYF&amp;form=skydnc</v>
    <v>Learn more on Bing</v>
  </rv>
  <rv s="1">
    <v>en-US</v>
    <v>a23v7w</v>
    <v>268435456</v>
    <v>1</v>
    <v>Powered by Refinitiv</v>
    <v>0</v>
    <v>SYNCHRONY FINANCIAL (XNYS:SYF)</v>
    <v>2</v>
    <v>3</v>
    <v>Finance</v>
    <v>4</v>
    <v>50.2</v>
    <v>27.215</v>
    <v>1.6034999999999999</v>
    <v>-1.49</v>
    <v>-4.4771999999999999E-2</v>
    <v>USD</v>
    <v>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v>
    <v>18000</v>
    <v>New York Stock Exchange</v>
    <v>XNYS</v>
    <v>XNYS</v>
    <v>777 Long Ridge Rd, STAMFORD, CT, 06902-1250 US</v>
    <v>32.869999999999997</v>
    <v>Banking Services</v>
    <v>Stock</v>
    <v>44917.737108437497</v>
    <v>1187</v>
    <v>31.725000000000001</v>
    <v>14322711106</v>
    <v>SYNCHRONY FINANCIAL</v>
    <v>SYNCHRONY FINANCIAL</v>
    <v>32.86</v>
    <v>5.2648999999999999</v>
    <v>33.28</v>
    <v>31.79</v>
    <v>450541400</v>
    <v>SYF</v>
    <v>SYNCHRONY FINANCIAL (XNYS:SYF)</v>
    <v>2047544</v>
    <v>5024108</v>
    <v>2003</v>
  </rv>
  <rv s="2">
    <v>1188</v>
  </rv>
  <rv s="0">
    <v>https://www.bing.com/financeapi/forcetrigger?t=a24p77&amp;q=XNYS%3aTXT&amp;form=skydnc</v>
    <v>Learn more on Bing</v>
  </rv>
  <rv s="1">
    <v>en-US</v>
    <v>a24p77</v>
    <v>268435456</v>
    <v>1</v>
    <v>Powered by Refinitiv</v>
    <v>0</v>
    <v>TEXTRON INC. (XNYS:TXT)</v>
    <v>2</v>
    <v>3</v>
    <v>Finance</v>
    <v>4</v>
    <v>79.45</v>
    <v>57.11</v>
    <v>1.4862</v>
    <v>-1.72</v>
    <v>-2.4195000000000001E-2</v>
    <v>USD</v>
    <v>Textron Inc. is a multi-industry company that leverages its global network of aircraft, defense, industrial and finance businesses to provide customers with various solutions and services. The Company operates through six segments: Textron Aviation, Bell, Textron Systems, Industrial, Finance, and eAviation. Textron Aviation segment manufactures, sells and services Beechcraft and Cessna aircraft, and services the Hawker brand of business jets. Bell segment supplies military and commercial helicopters, tiltrotor aircraft, and related spare parts and services. Textron Systems segment is a supplier to the defense, homeland security, aerospace, infrastructure protection and other customer missions. Industrial segment designs and manufactures a range of products within the fuel systems and functional components, and specialized vehicles product lines. Textron eAviation offers a family of sustainable aircraft for urban air mobility, general aviation, cargo, and special mission roles.</v>
    <v>33000</v>
    <v>New York Stock Exchange</v>
    <v>XNYS</v>
    <v>XNYS</v>
    <v>40 WESTMINSTER ST, PROVIDENCE, RI, 02903-2525 US</v>
    <v>70.799899999999994</v>
    <v>Aerospace &amp; Defense</v>
    <v>Stock</v>
    <v>44917.737113633593</v>
    <v>1190</v>
    <v>69.349999999999994</v>
    <v>14841560000</v>
    <v>TEXTRON INC.</v>
    <v>TEXTRON INC.</v>
    <v>70.31</v>
    <v>18.368600000000001</v>
    <v>71.09</v>
    <v>69.37</v>
    <v>208771500</v>
    <v>TXT</v>
    <v>TEXTRON INC. (XNYS:TXT)</v>
    <v>433592</v>
    <v>1475242</v>
    <v>1967</v>
  </rv>
  <rv s="2">
    <v>1191</v>
  </rv>
  <rv s="0">
    <v>https://www.bing.com/financeapi/forcetrigger?t=a1vjbh&amp;q=XNAS%3aINCY&amp;form=skydnc</v>
    <v>Learn more on Bing</v>
  </rv>
  <rv s="1">
    <v>en-US</v>
    <v>a1vjbh</v>
    <v>268435456</v>
    <v>1</v>
    <v>Powered by Refinitiv</v>
    <v>0</v>
    <v>INCYTE CORPORATION (XNAS:INCY)</v>
    <v>2</v>
    <v>3</v>
    <v>Finance</v>
    <v>4</v>
    <v>84.86</v>
    <v>65.069999999999993</v>
    <v>0.70420000000000005</v>
    <v>-0.3</v>
    <v>-3.7259999999999997E-3</v>
    <v>USD</v>
    <v>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and Canadian headquarters in Montreal.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v>
    <v>2094</v>
    <v>Nasdaq Stock Market</v>
    <v>XNAS</v>
    <v>XNAS</v>
    <v>1801 Augustine Cut-Off, WILMINGTON, DE, 19803 US</v>
    <v>80.63</v>
    <v>Pharmaceuticals</v>
    <v>Stock</v>
    <v>44917.736947962498</v>
    <v>1193</v>
    <v>79.94</v>
    <v>17913720000</v>
    <v>INCYTE CORPORATION</v>
    <v>INCYTE CORPORATION</v>
    <v>80.34</v>
    <v>20.459299999999999</v>
    <v>80.52</v>
    <v>80.22</v>
    <v>222475500</v>
    <v>INCY</v>
    <v>INCYTE CORPORATION (XNAS:INCY)</v>
    <v>170062</v>
    <v>1276577</v>
    <v>1991</v>
  </rv>
  <rv s="2">
    <v>1194</v>
  </rv>
  <rv s="0">
    <v>https://www.bing.com/financeapi/forcetrigger?t=a1na6h&amp;q=XNAS%3aALGN&amp;form=skydnc</v>
    <v>Learn more on Bing</v>
  </rv>
  <rv s="1">
    <v>en-US</v>
    <v>a1na6h</v>
    <v>268435456</v>
    <v>1</v>
    <v>Powered by Refinitiv</v>
    <v>0</v>
    <v>ALIGN TECHNOLOGY, INC. (XNAS:ALGN)</v>
    <v>2</v>
    <v>3</v>
    <v>Finance</v>
    <v>4</v>
    <v>674.89</v>
    <v>172.05</v>
    <v>1.6113999999999999</v>
    <v>-6.4050000000000002</v>
    <v>-3.1354E-2</v>
    <v>USD</v>
    <v>Align Technology, Inc. is a global medical device company. The Company is engaged in the design, manufacture and marketing of Invisalign clear aligners, iTero intraoral scanners and services for dentistry, and exocad computer-aided design and computer-aided manufacturing (CAD/CAM) software for dental laboratories and dental practitioners. It operates through two segments: Clear Aligner, and Systems and Services. Its Clear Aligner segment consists of Comprehensive Products, which includes Invisalign Comprehensive and Invisalign First; Non-Comprehensive Products, which includes Invisalign Moderate, Lite and Express packages and Invisalign Go and Invisalign Go Plus, and Non-Case products, which include retention products, Invisalign training, adjusting tools used by dental professionals during the course of treatment and consumer products that are complementary to its doctor-prescribed principal products. Its Systems and Services segment consists of its iTero intraoral scanning systems.</v>
    <v>22540</v>
    <v>Nasdaq Stock Market</v>
    <v>XNAS</v>
    <v>XNAS</v>
    <v>410 North Scottsdale Road, Suite 1300, TEMPE, AZ, 85288 US</v>
    <v>202.43</v>
    <v>Healthcare Equipment &amp; Supplies</v>
    <v>Stock</v>
    <v>44917.737125126565</v>
    <v>1196</v>
    <v>197.78</v>
    <v>15456481256</v>
    <v>ALIGN TECHNOLOGY, INC.</v>
    <v>ALIGN TECHNOLOGY, INC.</v>
    <v>202.28</v>
    <v>31.628599999999999</v>
    <v>204.28</v>
    <v>197.875</v>
    <v>78112350</v>
    <v>ALGN</v>
    <v>ALIGN TECHNOLOGY, INC. (XNAS:ALGN)</v>
    <v>277600</v>
    <v>934850</v>
    <v>1997</v>
  </rv>
  <rv s="2">
    <v>1197</v>
  </rv>
  <rv s="0">
    <v>https://www.bing.com/financeapi/forcetrigger?t=a1o1ar&amp;q=XNYS%3aAVY&amp;form=skydnc</v>
    <v>Learn more on Bing</v>
  </rv>
  <rv s="1">
    <v>en-US</v>
    <v>a1o1ar</v>
    <v>268435456</v>
    <v>1</v>
    <v>Powered by Refinitiv</v>
    <v>0</v>
    <v>AVERY DENNISON CORPORATION (XNYS:AVY)</v>
    <v>2</v>
    <v>3</v>
    <v>Finance</v>
    <v>4</v>
    <v>219.41329999999999</v>
    <v>151.62</v>
    <v>0.99619999999999997</v>
    <v>-4.1849999999999996</v>
    <v>-2.3130000000000001E-2</v>
    <v>USD</v>
    <v>Avery Dennison Corporation produces pressure-sensitive materials and a variety of tickets, tags, labels and other converted products. The Company’s segments include Label and Graphic Materials (LGM); Retail Branding and Information Solutions (RBIS), and Industrial and Healthcare Materials (IHM). LGM segment manufactures and sells Fasson, JAC, and Avery Dennison brand pressure-sensitive label and packaging materials, Avery Dennison and Mactac brand graphics, and Avery Dennison brand reflective products. Its pressure-sensitive materials consist primarily of papers, plastic films, metal foils and fabrics. RBIS segment designs, manufactures and sells a range of branding and information solutions to retailers, brand owners, apparel manufacturers, distributors and industrial customers. IHM segment manufactures and sells Fasson brand and Avery Dennison brand tapes and other pressure-sensitive adhesive-based materials and converted products, mechanical fasteners and performance polymers.</v>
    <v>36000</v>
    <v>New York Stock Exchange</v>
    <v>XNYS</v>
    <v>XNYS</v>
    <v>8080 Norton Parkway, MENTOR, OH, 44060 US</v>
    <v>180.73</v>
    <v>Containers &amp; Packaging</v>
    <v>Stock</v>
    <v>44917.737113807816</v>
    <v>1199</v>
    <v>176.71</v>
    <v>14310867672</v>
    <v>AVERY DENNISON CORPORATION</v>
    <v>AVERY DENNISON CORPORATION</v>
    <v>178.91</v>
    <v>18.288399999999999</v>
    <v>180.93</v>
    <v>176.745</v>
    <v>80969010</v>
    <v>AVY</v>
    <v>AVERY DENNISON CORPORATION (XNYS:AVY)</v>
    <v>75735</v>
    <v>530675</v>
    <v>1977</v>
  </rv>
  <rv s="2">
    <v>1200</v>
  </rv>
  <rv s="0">
    <v>https://www.bing.com/financeapi/forcetrigger?t=a1w1rw&amp;q=XNAS%3aJBHT&amp;form=skydnc</v>
    <v>Learn more on Bing</v>
  </rv>
  <rv s="1">
    <v>en-US</v>
    <v>a1w1rw</v>
    <v>268435456</v>
    <v>1</v>
    <v>Powered by Refinitiv</v>
    <v>0</v>
    <v>J. B. HUNT TRANSPORT SERVICES, INC. (XNAS:JBHT)</v>
    <v>2</v>
    <v>3</v>
    <v>Finance</v>
    <v>4</v>
    <v>218.18</v>
    <v>153.91999999999999</v>
    <v>1.1206</v>
    <v>-4.26</v>
    <v>-2.3937E-2</v>
    <v>USD</v>
    <v>J.B. Hunt Transport Services, Inc. is a surface transportation, delivery, and logistics companies in North America. The Company, through its subsidiaries, provides transportation and delivery services to a range of customers and consumers throughout the continental United States, Canada, and Mexico. The Company’s segments include Intermodal (JBI), Dedicated Contract Services (DCS), Integrated Capacity Solutions (ICS), Final Mile Services (FMS) and Truckload (JBT). The JBI segment provides intermodal freight solutions. Its DCS segment focuses on private fleet conversion and creation in replenishment and specialized equipment. The Company's ICS segment provides traditional freight brokerage and transportation logistics solutions to customers through relationships with third-party carriers and integration. Its FMS segment provides final-mile delivery services. The JBT segment offers full-load, dry-van freight, utilizing tractors and trailers operating over roads and highways.</v>
    <v>33045</v>
    <v>Nasdaq Stock Market</v>
    <v>XNAS</v>
    <v>XNAS</v>
    <v>PO Box 130, 615 Jb Hunt Corporate Dr, LOWELL, AR, 72745 US</v>
    <v>177.11</v>
    <v>Freight &amp; Logistics Services</v>
    <v>Stock</v>
    <v>44917.737105242966</v>
    <v>1202</v>
    <v>173.18</v>
    <v>17985481754</v>
    <v>J. B. HUNT TRANSPORT SERVICES, INC.</v>
    <v>J. B. HUNT TRANSPORT SERVICES, INC.</v>
    <v>176.26</v>
    <v>18.6111</v>
    <v>177.97</v>
    <v>173.71</v>
    <v>103537400</v>
    <v>JBHT</v>
    <v>J. B. HUNT TRANSPORT SERVICES, INC. (XNAS:JBHT)</v>
    <v>154103</v>
    <v>717143</v>
    <v>1961</v>
  </rv>
  <rv s="2">
    <v>1203</v>
  </rv>
  <rv s="0">
    <v>https://www.bing.com/financeapi/forcetrigger?t=a23tz2&amp;q=XNAS%3aSWKS&amp;form=skydnc</v>
    <v>Learn more on Bing</v>
  </rv>
  <rv s="1">
    <v>en-US</v>
    <v>a23tz2</v>
    <v>268435456</v>
    <v>1</v>
    <v>Powered by Refinitiv</v>
    <v>0</v>
    <v>SKYWORKS SOLUTIONS, INC. (XNAS:SWKS)</v>
    <v>2</v>
    <v>3</v>
    <v>Finance</v>
    <v>4</v>
    <v>163.47</v>
    <v>76.16</v>
    <v>1.2019</v>
    <v>-5.37</v>
    <v>-5.8432999999999999E-2</v>
    <v>USD</v>
    <v>Skyworks Solutions, Inc. is engaged in designing, manufacturing, and marketing, semiconductor products, including intellectual property. The Company’s analog semiconductors are connecting people, places, and things, across new applications within the aerospace, automotive, broadband, cellular infrastructure, connected home, entertainment, and gaming, industrial, medical, military, smartphone, tablet, and wearable markets. It operates engineering, manufacturing, sales, and service facilities throughout Asia, Europe, and North America. Its system solutions include Sky5, diversity receive (DRx) and multi-input multi-output (MIMO), SkyOne, antenna management, and integrated infrastructure. It offers a range of products, such as Amplifiers, Antenna Tuners, Attenuators, Automotive Tuners and Digital Radios, Circulators/Isolators, Demodulators, Detectors, Digital Power Isolators, Diodes, Directional Couplers, Diversity Receive Modules, Filters, Mixers, Modulators, Receivers, and Switches.</v>
    <v>11150</v>
    <v>Nasdaq Stock Market</v>
    <v>XNAS</v>
    <v>XNAS</v>
    <v>5260 California Avenue, IRVINE, CA, 92617 US</v>
    <v>89.77</v>
    <v>Semiconductors &amp; Semiconductor Equipment</v>
    <v>Stock</v>
    <v>44917.737106596876</v>
    <v>1205</v>
    <v>86.53</v>
    <v>13858739983</v>
    <v>SKYWORKS SOLUTIONS, INC.</v>
    <v>SKYWORKS SOLUTIONS, INC.</v>
    <v>89.77</v>
    <v>11.787100000000001</v>
    <v>91.9</v>
    <v>86.53</v>
    <v>160161100</v>
    <v>SWKS</v>
    <v>SKYWORKS SOLUTIONS, INC. (XNAS:SWKS)</v>
    <v>684937</v>
    <v>2233183</v>
    <v>2002</v>
  </rv>
  <rv s="2">
    <v>1206</v>
  </rv>
  <rv s="0">
    <v>https://www.bing.com/financeapi/forcetrigger?t=a1vrec&amp;q=XNYS%3aIRM&amp;form=skydnc</v>
    <v>Learn more on Bing</v>
  </rv>
  <rv s="1">
    <v>en-US</v>
    <v>a1vrec</v>
    <v>268435456</v>
    <v>1</v>
    <v>Powered by Refinitiv</v>
    <v>0</v>
    <v>IRON MOUNTAIN INCORPORATED (XNYS:IRM)</v>
    <v>2</v>
    <v>3</v>
    <v>Finance</v>
    <v>4</v>
    <v>58.61</v>
    <v>41.67</v>
    <v>0.88929999999999998</v>
    <v>-0.79</v>
    <v>-1.5579000000000001E-2</v>
    <v>USD</v>
    <v>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 information technology (IT) infrastructure, with data center options. The Corporate and Other Business segment consists primarily of Adjacent Businesses and other corporate items. It serves industries, such as commercial, legal, financial, healthcare, insurance, life sciences, energy, business services, entertainment and government organizations.</v>
    <v>26750</v>
    <v>New York Stock Exchange</v>
    <v>XNYS</v>
    <v>XNYS</v>
    <v>One Federal Street, BOSTON, MA, 2110 US</v>
    <v>50.97</v>
    <v>Residential &amp; Commercial REIT</v>
    <v>Stock</v>
    <v>44917.737022638285</v>
    <v>1208</v>
    <v>49.92</v>
    <v>14512447872</v>
    <v>IRON MOUNTAIN INCORPORATED</v>
    <v>IRON MOUNTAIN INCORPORATED</v>
    <v>50.344999999999999</v>
    <v>29.866800000000001</v>
    <v>50.71</v>
    <v>49.92</v>
    <v>290714100</v>
    <v>IRM</v>
    <v>IRON MOUNTAIN INCORPORATED (XNYS:IRM)</v>
    <v>404287</v>
    <v>1319156</v>
    <v>2014</v>
  </rv>
  <rv s="2">
    <v>1209</v>
  </rv>
  <rv s="0">
    <v>https://www.bing.com/financeapi/forcetrigger?t=a1yw1h&amp;q=XNYS%3aNVR&amp;form=skydnc</v>
    <v>Learn more on Bing</v>
  </rv>
  <rv s="1">
    <v>en-US</v>
    <v>a1yw1h</v>
    <v>268435456</v>
    <v>1</v>
    <v>Powered by Refinitiv</v>
    <v>0</v>
    <v>NVR, Inc. (XNYS:NVR)</v>
    <v>2</v>
    <v>3</v>
    <v>Finance</v>
    <v>4</v>
    <v>5978.1553000000004</v>
    <v>3576.01</v>
    <v>0.9284</v>
    <v>-47.51</v>
    <v>-1.0098000000000001E-2</v>
    <v>USD</v>
    <v>NVR, Inc. is engaged in the construction and sale of single-family detached homes, townhomes and condominium buildings. The Company's segments are Homebuilding Mid Atlantic, Homebuilding North East, Homebuilding Mid East and Homebuilding South East. Its Homebuilding Mid Atlantic segment operates in various geographic regions, which include Maryland, Virginia, West Virginia, Delaware and Washington, District of Columbia (D.C.) ranging from two to four bedrooms. Its Homebuilding North East segment operates in various geographic regions, which include New Jersey and Eastern Pennsylvania. Its Homebuilding Mid East segment operates in various geographic regions, which include New York, Ohio, Western Pennsylvania, Indiana and Illinois. The Homebuilding South East segment operates in various geographic regions, which include North Carolina, South Carolina, Florida and Tennessee. It also provides mortgage-related services to home building customers through its mortgage banking operations.</v>
    <v>6600</v>
    <v>New York Stock Exchange</v>
    <v>XNYS</v>
    <v>XNYS</v>
    <v>SUITE 500, 11700 PLAZA AMERICA DR., RESTON, VA, 20190 US</v>
    <v>4695.16</v>
    <v>Homebuilding &amp; Construction Supplies</v>
    <v>Stock</v>
    <v>44917.736901990625</v>
    <v>1211</v>
    <v>4630.3900000000003</v>
    <v>15036520000</v>
    <v>NVR, Inc.</v>
    <v>NVR, Inc.</v>
    <v>4695.16</v>
    <v>10.507099999999999</v>
    <v>4704.96</v>
    <v>4657.45</v>
    <v>3195890</v>
    <v>NVR</v>
    <v>NVR, Inc. (XNYS:NVR)</v>
    <v>1848</v>
    <v>20782</v>
    <v>1993</v>
  </rv>
  <rv s="2">
    <v>1212</v>
  </rv>
  <rv s="0">
    <v>https://www.bing.com/financeapi/forcetrigger?t=a1wt7w&amp;q=XNYS%3aLDOS&amp;form=skydnc</v>
    <v>Learn more on Bing</v>
  </rv>
  <rv s="1">
    <v>en-US</v>
    <v>a1wt7w</v>
    <v>268435456</v>
    <v>1</v>
    <v>Powered by Refinitiv</v>
    <v>0</v>
    <v>LEIDOS HOLDINGS, INC. (XNYS:LDOS)</v>
    <v>2</v>
    <v>3</v>
    <v>Finance</v>
    <v>4</v>
    <v>111.12</v>
    <v>81.069999999999993</v>
    <v>0.80740000000000001</v>
    <v>-2.04</v>
    <v>-1.9276000000000001E-2</v>
    <v>USD</v>
    <v>Leidos Holdings, Inc. is a technology, engineering, and science company that provides services and solutions in the defense, intelligence, civil and health markets, both domestically and internationally. The Company's segments include Defense Solutions, Civil and Health. The Defense Solutions segment provides technologically advanced services, solutions, and products to a range of customer bases. Its technologies cover various markets with primary areas of concentration in digital transformation, transformative software, analytics, intelligence analysis, mission support and logistics services, and human space exploration, among others. The Civil segment is focused on modernizing infrastructure, systems and security for government and commercial customers both domestically and internationally. The Health segment focuses on delivering solutions to federal and commercial customers that are responsible for the health and well-being of people, including service members and veterans.</v>
    <v>43000</v>
    <v>New York Stock Exchange</v>
    <v>XNYS</v>
    <v>XNYS</v>
    <v>1750 Presidents Street, RESTON, VA, 20190 US</v>
    <v>105.9</v>
    <v>Software &amp; IT Services</v>
    <v>Stock</v>
    <v>44917.737113645315</v>
    <v>1214</v>
    <v>103.79</v>
    <v>14187013584</v>
    <v>LEIDOS HOLDINGS, INC.</v>
    <v>LEIDOS HOLDINGS, INC.</v>
    <v>105.79</v>
    <v>21.6873</v>
    <v>105.83</v>
    <v>103.79</v>
    <v>136689600</v>
    <v>LDOS</v>
    <v>LEIDOS HOLDINGS, INC. (XNYS:LDOS)</v>
    <v>203232</v>
    <v>884845</v>
    <v>2005</v>
  </rv>
  <rv s="2">
    <v>1215</v>
  </rv>
  <rv s="0">
    <v>https://www.bing.com/financeapi/forcetrigger?t=a1nqw7&amp;q=XNYS%3aHWM&amp;form=skydnc</v>
    <v>Learn more on Bing</v>
  </rv>
  <rv s="1">
    <v>en-US</v>
    <v>a1nqw7</v>
    <v>268435456</v>
    <v>1</v>
    <v>Powered by Refinitiv</v>
    <v>0</v>
    <v>HOWMET AEROSPACE INC. (XNYS:HWM)</v>
    <v>2</v>
    <v>3</v>
    <v>Finance</v>
    <v>4</v>
    <v>39.78</v>
    <v>29.35</v>
    <v>1.5584</v>
    <v>-1.04</v>
    <v>-2.6633E-2</v>
    <v>USD</v>
    <v>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v>
    <v>19900</v>
    <v>New York Stock Exchange</v>
    <v>XNYS</v>
    <v>XNYS</v>
    <v>201 Isabella St Ste 200, PITTSBURGH, PA, 15212-5872 US</v>
    <v>38.82</v>
    <v>Aerospace &amp; Defense</v>
    <v>Stock</v>
    <v>44917.737034617967</v>
    <v>1217</v>
    <v>37.96</v>
    <v>16155460000</v>
    <v>HOWMET AEROSPACE INC.</v>
    <v>HOWMET AEROSPACE INC.</v>
    <v>38.75</v>
    <v>37.931399999999996</v>
    <v>39.049999999999997</v>
    <v>38.01</v>
    <v>413712000</v>
    <v>HWM</v>
    <v>HOWMET AEROSPACE INC. (XNYS:HWM)</v>
    <v>753396</v>
    <v>2561262</v>
    <v>2017</v>
  </rv>
  <rv s="2">
    <v>1218</v>
  </rv>
  <rv s="0">
    <v>https://www.bing.com/financeapi/forcetrigger?t=b17tur&amp;q=XNYS%3aEVRG&amp;form=skydnc</v>
    <v>Learn more on Bing</v>
  </rv>
  <rv s="1">
    <v>en-US</v>
    <v>b17tur</v>
    <v>268435456</v>
    <v>1</v>
    <v>Powered by Refinitiv</v>
    <v>0</v>
    <v>Evergy, Inc. (XNYS:EVRG)</v>
    <v>2</v>
    <v>3</v>
    <v>Finance</v>
    <v>4</v>
    <v>73.125</v>
    <v>54.12</v>
    <v>0.47810000000000002</v>
    <v>-1.07</v>
    <v>-1.6979000000000001E-2</v>
    <v>USD</v>
    <v>Evergy, Inc. is a utility holding company. The Company operates primarily through its wholly owned subsidiaries,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Kansas Central has a wholly owned subsidiary, Evergy Kansas South, Inc. Evergy Metro is an integrated, regulated electric utility that provides electricity to customers in the states of Missouri and Kansas. Evergy Missouri West is a regulated electric utility that provides electricity to customers in the state of Missouri. Evergy Transmission Company owns 13.5% of Transource Energy, LLC with the remaining 86.5% owned by AEP Transmission Holding Company, LLC. Transource is focused on the development of electric transmission projects.</v>
    <v>4930</v>
    <v>New York Stock Exchange</v>
    <v>XNYS</v>
    <v>XNYS</v>
    <v>1200 Main St, KANSAS CITY, MO, 64105-2122 US</v>
    <v>63</v>
    <v>Electrical Utilities &amp; IPPs</v>
    <v>Stock</v>
    <v>44917.737105126565</v>
    <v>1220</v>
    <v>61.95</v>
    <v>14219779980</v>
    <v>Evergy, Inc.</v>
    <v>Evergy, Inc.</v>
    <v>63</v>
    <v>18.188099999999999</v>
    <v>63.02</v>
    <v>61.95</v>
    <v>229536400</v>
    <v>EVRG</v>
    <v>Evergy, Inc. (XNYS:EVRG)</v>
    <v>278545</v>
    <v>3014563</v>
    <v>2017</v>
  </rv>
  <rv s="2">
    <v>1221</v>
  </rv>
  <rv s="0">
    <v>https://www.bing.com/financeapi/forcetrigger?t=a1u6sm&amp;q=XNYS%3aGRMN&amp;form=skydnc</v>
    <v>Learn more on Bing</v>
  </rv>
  <rv s="1">
    <v>en-US</v>
    <v>a1u6sm</v>
    <v>268435456</v>
    <v>1</v>
    <v>Powered by Refinitiv</v>
    <v>0</v>
    <v>Garmin Ltd (XNYS:GRMN)</v>
    <v>2</v>
    <v>3</v>
    <v>Finance</v>
    <v>4</v>
    <v>138.25</v>
    <v>76.37</v>
    <v>0.96509999999999996</v>
    <v>-2.41</v>
    <v>-2.6179000000000001E-2</v>
    <v>USD</v>
    <v>Garmin Ltd. (Garmin) is a Switzerland-based entity. The Company and its subsidiaries offer global positioning system (GPS) navigation and wireless devices and applications. The Company operates through five segments: fitness, outdoor, aviation, marine and auto. It offers a range of auto navigation products, as well as a range of products and applications designed for the mobile GPS market. It offers Outdoor Handhelds, Wearable Devices, Golf Devices, and Dog Tracking and Training/Pet Obedience Devices. Garmin offers various products designed for use in fitness and activity tracking. Company’s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 Company operates worldwide.</v>
    <v>18700</v>
    <v>New York Stock Exchange</v>
    <v>XNYS</v>
    <v>XNYS</v>
    <v>Muehlentalstrasse 2, SCHAFFHAUSEN, SCHAFFHAUSEN, 8200 CH</v>
    <v>91.454999999999998</v>
    <v>Communications &amp; Networking</v>
    <v>Stock</v>
    <v>44917.737050057811</v>
    <v>1223</v>
    <v>89.61</v>
    <v>17182668635</v>
    <v>Garmin Ltd</v>
    <v>Garmin Ltd</v>
    <v>91.1</v>
    <v>18.418700000000001</v>
    <v>92.06</v>
    <v>89.65</v>
    <v>191663900</v>
    <v>GRMN</v>
    <v>Garmin Ltd (XNYS:GRMN)</v>
    <v>152571</v>
    <v>929069</v>
    <v>2010</v>
  </rv>
  <rv s="2">
    <v>1224</v>
  </rv>
  <rv s="0">
    <v>https://www.bing.com/financeapi/forcetrigger?t=a1wy1h&amp;q=XNAS%3aLKQ&amp;form=skydnc</v>
    <v>Learn more on Bing</v>
  </rv>
  <rv s="1">
    <v>en-US</v>
    <v>a1wy1h</v>
    <v>268435456</v>
    <v>1</v>
    <v>Powered by Refinitiv</v>
    <v>0</v>
    <v>LKQ CORPORATION (XNAS:LKQ)</v>
    <v>2</v>
    <v>3</v>
    <v>Finance</v>
    <v>4</v>
    <v>60.429900000000004</v>
    <v>42.36</v>
    <v>1.3540000000000001</v>
    <v>-1.98</v>
    <v>-3.6423999999999998E-2</v>
    <v>USD</v>
    <v>LKQ Corporation is a holding company, which distributes vehicle products, including replacement parts, components, and systems used in the repair and maintenance of vehicles, and specialty products and accessories, and automotive glass products. Its segments include Wholesale- North America, Europe and Specialty. North America segment offers vehicle replacement products, including sheet metal collision parts, such as doors, hoods, and fenders; bumper covers; head and tail lamps; automotive glass products, such as windshields; mirrors and grilles; wheels, and large mechanical items, such as engines and transmissions. Europe segment offers small mechanical products, such as brake pads, discs and sensors; clutches; electrical products, such as spark plugs and batteries; filters, and oil and automotive fluids. Specialty segment serves truck and off-road; speed and performance; recreational vehicles; towing; wheels, tires and performance handling; marine, and miscellaneous accessories.</v>
    <v>46000</v>
    <v>Nasdaq Stock Market</v>
    <v>XNAS</v>
    <v>XNAS</v>
    <v>SUITE 2800, 500 WEST MADISON STREET, CHICAGO, IL, 60661 US</v>
    <v>54.244999999999997</v>
    <v>Automobiles &amp; Auto Parts</v>
    <v>Stock</v>
    <v>44917.737039721876</v>
    <v>1226</v>
    <v>52.38</v>
    <v>13994626500</v>
    <v>LKQ CORPORATION</v>
    <v>LKQ CORPORATION</v>
    <v>53.88</v>
    <v>12.976599999999999</v>
    <v>54.36</v>
    <v>52.38</v>
    <v>267175000</v>
    <v>LKQ</v>
    <v>LKQ CORPORATION (XNAS:LKQ)</v>
    <v>356531</v>
    <v>1382146</v>
    <v>1998</v>
  </rv>
  <rv s="2">
    <v>1227</v>
  </rv>
  <rv s="0">
    <v>https://www.bing.com/financeapi/forcetrigger?t=a244ur&amp;q=XNAS%3aTER&amp;form=skydnc</v>
    <v>Learn more on Bing</v>
  </rv>
  <rv s="1">
    <v>en-US</v>
    <v>a244ur</v>
    <v>268435456</v>
    <v>1</v>
    <v>Powered by Refinitiv</v>
    <v>0</v>
    <v>TERADYNE, INC. (XNAS:TER)</v>
    <v>2</v>
    <v>3</v>
    <v>Finance</v>
    <v>4</v>
    <v>168.91</v>
    <v>67.81</v>
    <v>1.5194000000000001</v>
    <v>-5.91</v>
    <v>-6.5850000000000006E-2</v>
    <v>USD</v>
    <v>Teradyne, Inc. is a global supplier of automation equipment for test and industrial applications. The Company designs, develops, manufactures and sells automatic test systems used to test semiconductors, wireless products, data storage and complex electronics systems. The Company’s segments include Semiconductor Test, which includes operations related to the design, manufacturing and marketing of semiconductor test products and services; System Test, which includes operations related to the design, manufacturing and marketing of products and services for storage and system level test, defense/aerospace instrumentation test, and circuit-board test; Wireless Test, which includes operations related to the design, manufacturing and marketing of wireless test products and services, and Industrial Automation, which includes operations related to the design, manufacturing and marketing of collaborative robotic arms, autonomous mobile robots and advanced robotic control software.</v>
    <v>5900</v>
    <v>Nasdaq Stock Market</v>
    <v>XNAS</v>
    <v>XNAS</v>
    <v>600 Riverpark Dr, NORTH READING, MA, 01864-2634 US</v>
    <v>87.61</v>
    <v>Semiconductors &amp; Semiconductor Equipment</v>
    <v>Stock</v>
    <v>44917.73703477969</v>
    <v>1229</v>
    <v>83.75</v>
    <v>13058591424</v>
    <v>TERADYNE, INC.</v>
    <v>TERADYNE, INC.</v>
    <v>87.61</v>
    <v>20.2286</v>
    <v>89.75</v>
    <v>83.84</v>
    <v>155756100</v>
    <v>TER</v>
    <v>TERADYNE, INC. (XNAS:TER)</v>
    <v>490565</v>
    <v>1542263</v>
    <v>1960</v>
  </rv>
  <rv s="2">
    <v>1230</v>
  </rv>
  <rv s="0">
    <v>https://www.bing.com/financeapi/forcetrigger?t=a24poc&amp;q=XNYS%3aTYL&amp;form=skydnc</v>
    <v>Learn more on Bing</v>
  </rv>
  <rv s="1">
    <v>en-US</v>
    <v>a24poc</v>
    <v>268435456</v>
    <v>1</v>
    <v>Powered by Refinitiv</v>
    <v>0</v>
    <v>TYLER TECHNOLOGIES, INC. (XNYS:TYL)</v>
    <v>2</v>
    <v>3</v>
    <v>Finance</v>
    <v>4</v>
    <v>544.04499999999996</v>
    <v>281.11</v>
    <v>0.84209999999999996</v>
    <v>-13.345000000000001</v>
    <v>-4.0486000000000001E-2</v>
    <v>USD</v>
    <v>Tyler Technologies, Inc. is a provider of information management solutions and services for the public sector. Its segments include Enterprise Software (ES) segment, which provides public sector entities with software systems and services to meet their information technology and automation needs for mission-critical back-office functions, such as financial management; courts and justice processes; public safety; planning, regulatory and maintenance; data analytics; and platform technologies; Appraisal and Tax (A&amp;T) segment, which provides systems and software that automate the appraisal and assessment of real and personal property, land and vital records management as well as provides property appraisal outsourcing services for local governments and taxing authorities, and NIC, Inc. (NIC) segment, which offers digital services, such as insurance, submitting business filings, renewing licenses, accessing information and making secure payments without visiting a government office.</v>
    <v>7176</v>
    <v>New York Stock Exchange</v>
    <v>XNYS</v>
    <v>XNYS</v>
    <v>5101 Tennyson Pkwy, PLANO, TX, 75024 US</v>
    <v>326.23</v>
    <v>Software &amp; IT Services</v>
    <v>Stock</v>
    <v>44917.737057881248</v>
    <v>1232</v>
    <v>316.27499999999998</v>
    <v>13169659372</v>
    <v>TYLER TECHNOLOGIES, INC.</v>
    <v>TYLER TECHNOLOGIES, INC.</v>
    <v>325.83</v>
    <v>74.420900000000003</v>
    <v>329.62</v>
    <v>316.27499999999998</v>
    <v>41639900</v>
    <v>TYL</v>
    <v>TYLER TECHNOLOGIES, INC. (XNYS:TYL)</v>
    <v>82631</v>
    <v>312897</v>
    <v>1989</v>
  </rv>
  <rv s="2">
    <v>1233</v>
  </rv>
  <rv s="0">
    <v>https://www.bing.com/financeapi/forcetrigger?t=a1x1mw&amp;q=XNAS%3aLNT&amp;form=skydnc</v>
    <v>Learn more on Bing</v>
  </rv>
  <rv s="1">
    <v>en-US</v>
    <v>a1x1mw</v>
    <v>268435456</v>
    <v>1</v>
    <v>Powered by Refinitiv</v>
    <v>0</v>
    <v>ALLIANT ENERGY CORPORATION (XNAS:LNT)</v>
    <v>2</v>
    <v>3</v>
    <v>Finance</v>
    <v>4</v>
    <v>65.37</v>
    <v>47.19</v>
    <v>0.50370000000000004</v>
    <v>-0.98</v>
    <v>-1.7791999999999999E-2</v>
    <v>USD</v>
    <v>Alliant Energy Corporation operates as a regulated investor-owned public utility holding company. The Company is focused on providing regulated electric and natural gas service to its customers in the Midwest, through its subsidiaries, Interstate Power and Light Company (IPL) and Wisconsin Power and Light Company (WPL). Its segments include Utility, and ATC Holdings, Non-utility, Parent and Other. The Utility segment includes the operations of IPL and WPL, which primarily serve retail customers in Iowa and Wisconsin. The utility business includes utility electric operations, utility gas operations and utility other, which includes steam operations and the unallocated portions of the utility business. Its ATC Holdings, Non-utility, Parent and Other segment includes the operations of Alliant Energy Finance, LLC (AEF) and its subsidiaries, the Alliant Energy parent company, and any Alliant Energy parent company consolidating adjustments.</v>
    <v>3313</v>
    <v>Nasdaq Stock Market</v>
    <v>XNAS</v>
    <v>XNAS</v>
    <v>SUITE 1000, 4902 NORTH BILTMORE LANE, MADISON, WI, 53718-2148 US</v>
    <v>54.94</v>
    <v>Electrical Utilities &amp; IPPs</v>
    <v>Stock</v>
    <v>44917.737071851559</v>
    <v>1235</v>
    <v>54.1</v>
    <v>13580279380</v>
    <v>ALLIANT ENERGY CORPORATION</v>
    <v>ALLIANT ENERGY CORPORATION</v>
    <v>54.94</v>
    <v>20.766400000000001</v>
    <v>55.08</v>
    <v>54.1</v>
    <v>251021800</v>
    <v>LNT</v>
    <v>ALLIANT ENERGY CORPORATION (XNAS:LNT)</v>
    <v>227703</v>
    <v>1376524</v>
    <v>1981</v>
  </rv>
  <rv s="2">
    <v>1236</v>
  </rv>
  <rv s="0">
    <v>https://creativecommons.org/licenses/by-sa/4.0</v>
    <v>CC BY-SA 4.0</v>
  </rv>
  <rv s="0">
    <v>http://en.wikipedia.org/wiki/Fleetcor</v>
    <v>Wikipedia</v>
  </rv>
  <rv s="3">
    <v>1238</v>
    <v>1239</v>
  </rv>
  <rv s="4">
    <v>9</v>
    <v>https://www.bing.com/th?id=AMMS_10f3aca41262dec4fa8e7ae778ea9a00&amp;qlt=95</v>
    <v>1240</v>
    <v>0</v>
    <v>https://www.bing.com/images/search?form=xlimg&amp;q=fleetcor</v>
    <v>Image of FLEETCOR TECHNOLOGIES, INC.</v>
  </rv>
  <rv s="0">
    <v>https://www.bing.com/financeapi/forcetrigger?t=a1t377&amp;q=XNYS%3aFLT&amp;form=skydnc</v>
    <v>Learn more on Bing</v>
  </rv>
  <rv s="5">
    <v>en-US</v>
    <v>a1t377</v>
    <v>268435456</v>
    <v>1</v>
    <v>Powered by Refinitiv</v>
    <v>5</v>
    <v>FLEETCOR TECHNOLOGIES, INC. (XNYS:FLT)</v>
    <v>7</v>
    <v>8</v>
    <v>Finance</v>
    <v>4</v>
    <v>265.29500000000002</v>
    <v>161.69</v>
    <v>1.2116</v>
    <v>-6.11</v>
    <v>-3.3599000000000004E-2</v>
    <v>USD</v>
    <v>FLEETCOR Technologies, Inc. is a global business payments company. The Company’s segments include Fuel, Corporate Payments, Lodging, Brazil, and Other, which includes Gift and Paycard businesses. The Company offers its solution in two categories: Expense Management solutions and Corporate Payments solutions. The Expense Management solutions can help control and monitor employee spending and includes fuel, tolls, and lodging. The Corporate Payments solutions are engaged in simplifying and automating payments, are designed to help businesses streamline the back-office operations associated with making outgoing payments. Its processing and card management solutions provide customers with capabilities, including customizable user-level controls, transaction reporting, programmable alerts, configurable networks, contract price validation and audit, and tax management and reporting. It offers Plugsurfing, an electric vehicle (EV) software and network provider across Europe.</v>
    <v>9700</v>
    <v>New York Stock Exchange</v>
    <v>XNYS</v>
    <v>XNYS</v>
    <v>3280 Peachtree Road, Suite 2400, ATLANTA, GA, 30305 US</v>
    <v>179.81</v>
    <v>1241</v>
    <v>Professional &amp; Commercial Services</v>
    <v>Stock</v>
    <v>44917.737031260935</v>
    <v>1242</v>
    <v>175.57499999999999</v>
    <v>12961239746</v>
    <v>FLEETCOR TECHNOLOGIES, INC.</v>
    <v>FLEETCOR TECHNOLOGIES, INC.</v>
    <v>179.59</v>
    <v>14.9612</v>
    <v>181.85</v>
    <v>175.74</v>
    <v>73752360</v>
    <v>FLT</v>
    <v>FLEETCOR TECHNOLOGIES, INC. (XNYS:FLT)</v>
    <v>177246</v>
    <v>515412</v>
    <v>1998</v>
  </rv>
  <rv s="2">
    <v>1243</v>
  </rv>
  <rv s="0">
    <v>https://www.bing.com/financeapi/forcetrigger?t=a1s9dm&amp;q=XNYS%3aESS&amp;form=skydnc</v>
    <v>Learn more on Bing</v>
  </rv>
  <rv s="1">
    <v>en-US</v>
    <v>a1s9dm</v>
    <v>268435456</v>
    <v>1</v>
    <v>Powered by Refinitiv</v>
    <v>0</v>
    <v>ESSEX PROPERTY TRUST, INC. (XNYS:ESS)</v>
    <v>2</v>
    <v>3</v>
    <v>Finance</v>
    <v>4</v>
    <v>363.36</v>
    <v>205.24</v>
    <v>0.74660000000000004</v>
    <v>-2.4049999999999998</v>
    <v>-1.1514999999999999E-2</v>
    <v>USD</v>
    <v>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v>
    <v>1757</v>
    <v>New York Stock Exchange</v>
    <v>XNYS</v>
    <v>XNYS</v>
    <v>Suite 200, 1100 Park Place, SAN MATEO, CA, 94403 US</v>
    <v>209.95500000000001</v>
    <v>Residential &amp; Commercial REIT</v>
    <v>Stock</v>
    <v>44917.737043217188</v>
    <v>1245</v>
    <v>206.44499999999999</v>
    <v>13368100305</v>
    <v>ESSEX PROPERTY TRUST, INC.</v>
    <v>ESSEX PROPERTY TRUST, INC.</v>
    <v>207.05</v>
    <v>37.819699999999997</v>
    <v>208.85</v>
    <v>206.44499999999999</v>
    <v>64753810</v>
    <v>ESS</v>
    <v>ESSEX PROPERTY TRUST, INC. (XNYS:ESS)</v>
    <v>230395</v>
    <v>519404</v>
    <v>1994</v>
  </rv>
  <rv s="2">
    <v>1246</v>
  </rv>
  <rv s="0">
    <v>https://www.bing.com/financeapi/forcetrigger?t=a1s57w&amp;q=XNYS%3aEQT&amp;form=skydnc</v>
    <v>Learn more on Bing</v>
  </rv>
  <rv s="1">
    <v>en-US</v>
    <v>a1s57w</v>
    <v>268435456</v>
    <v>1</v>
    <v>Powered by Refinitiv</v>
    <v>0</v>
    <v>EQT CORPORATION (XNYS:EQT)</v>
    <v>2</v>
    <v>3</v>
    <v>Finance</v>
    <v>4</v>
    <v>51.97</v>
    <v>19.2</v>
    <v>1.1888000000000001</v>
    <v>-1.762</v>
    <v>-4.8090000000000001E-2</v>
    <v>USD</v>
    <v>EQT Corporation is a natural gas producer with operations focused on the Marcellus and Utica Shales of the Appalachian Basin. It has approximately 25.0 trillion cubic feet equivalents (Tcfe) of proved natural gas, natural gas liquids (NGLs), and crude oil reserves across approximately 2.0 million gross acres, including approximately 1.7 million gross acres in the Marcellus play. The Company is focused on the execution of combo-development projects, which refers to the development of several multi-well pads in tandem. It owns or leases approximately 610,000 net acres in Pennsylvania. The Company owns or leases approximately 405,000 net acres in West Virginia. It also owns or leases approximately 65,000 net acres in eastern Ohio. It primarily contracts with MarkWest Energy Partners, L.P. (MarkWest) to process its natural gas and extract from the produced natural gas heavier hydrocarbon streams (consisting predominately of ethane, propane, isobutane, normal butane and natural gasoline.</v>
    <v>693</v>
    <v>New York Stock Exchange</v>
    <v>XNYS</v>
    <v>XNYS</v>
    <v>SUITE 1700, 625 LIBERTY AVENUE, PITTSBURGH, PA, 15222 US</v>
    <v>36.39</v>
    <v>Oil &amp; Gas</v>
    <v>Stock</v>
    <v>44917.737092221876</v>
    <v>1248</v>
    <v>34.83</v>
    <v>12801830388</v>
    <v>EQT CORPORATION</v>
    <v>EQT CORPORATION</v>
    <v>36.314999999999998</v>
    <v>7.9725000000000001</v>
    <v>36.64</v>
    <v>34.878</v>
    <v>367046000</v>
    <v>EQT</v>
    <v>EQT CORPORATION (XNYS:EQT)</v>
    <v>1898103</v>
    <v>6043811</v>
    <v>2008</v>
  </rv>
  <rv s="2">
    <v>1249</v>
  </rv>
  <rv s="0">
    <v>https://www.bing.com/financeapi/forcetrigger?t=a1uivh&amp;q=XNYS%3aPEAK&amp;form=skydnc</v>
    <v>Learn more on Bing</v>
  </rv>
  <rv s="1">
    <v>en-US</v>
    <v>a1uivh</v>
    <v>268435456</v>
    <v>1</v>
    <v>Powered by Refinitiv</v>
    <v>0</v>
    <v>HEALTHPEAK PROPERTIES, INC. (XNYS:PEAK)</v>
    <v>2</v>
    <v>3</v>
    <v>Finance</v>
    <v>4</v>
    <v>36.85</v>
    <v>21.41</v>
    <v>0.83020000000000005</v>
    <v>-0.49</v>
    <v>-1.9577000000000001E-2</v>
    <v>USD</v>
    <v>Healthpeak Properties, Inc. is an integrated real estate investment trust, which invests primarily in real estate serving the healthcare industry in the United States. The Company acquires, develops, leases, owns, and manages healthcare real estate. Its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Life science properties are primarily configured in business park or campus settings and include multiple buildings. MOBs also contain physicians’ offices and examination rooms, diagnostic centers, rehabilitation clinics, and day-surgery operating rooms. CCRC segment, which includes independent living, assisted living, and skilled nursing units to provide a continuum of care in an integrated campus.</v>
    <v>196</v>
    <v>New York Stock Exchange</v>
    <v>XNYS</v>
    <v>XNYS</v>
    <v>5050 SOUTH SYRACUSE STREET, SUITE 800, DENVER, CO, 80237 US</v>
    <v>25.074999999999999</v>
    <v>Residential &amp; Commercial REIT</v>
    <v>Stock</v>
    <v>44917.737105196094</v>
    <v>1251</v>
    <v>24.54</v>
    <v>13191236508</v>
    <v>HEALTHPEAK PROPERTIES, INC.</v>
    <v>HEALTHPEAK PROPERTIES, INC.</v>
    <v>24.84</v>
    <v>26.4971</v>
    <v>25.03</v>
    <v>24.54</v>
    <v>537540200</v>
    <v>PEAK</v>
    <v>HEALTHPEAK PROPERTIES, INC. (XNYS:PEAK)</v>
    <v>939223</v>
    <v>4018738</v>
    <v>1985</v>
  </rv>
  <rv s="2">
    <v>1252</v>
  </rv>
  <rv s="0">
    <v>https://www.bing.com/financeapi/forcetrigger?t=a1pap2&amp;q=BATS%3aCBOE&amp;form=skydnc</v>
    <v>Learn more on Bing</v>
  </rv>
  <rv s="1">
    <v>en-US</v>
    <v>a1pap2</v>
    <v>268435456</v>
    <v>1</v>
    <v>Powered by Refinitiv</v>
    <v>0</v>
    <v>Cboe Global Markets, Inc. (BATS:CBOE)</v>
    <v>2</v>
    <v>3</v>
    <v>Finance</v>
    <v>4</v>
    <v>132</v>
    <v>103.8197</v>
    <v>0.56279999999999997</v>
    <v>-3.08</v>
    <v>-2.4407999999999999E-2</v>
    <v>USD</v>
    <v>Cboe Global Markets, Inc. is a provider of market infrastructure and tradable products, delivers cutting-edge trading, and clearing and investment solutions to market participants around the world. The Company's segments include Options, North American Equities, Europe and the Asia Pacific, Futures, and Global foreign exchange (FX). The Options segment includes options on market indices (index options), as well as on the stocks of individual corporations (equity options). The North American Equities segment includes listed United States equities and exchange-traded products (ETP) transaction services. The Europe and Asia Pacific segment includes the pan-European listed equities and derivatives transaction services, ETPs, exchange-traded commodities, and international depository receipts. The Futures segment includes transaction services provided by its electronic futures exchange, Cboe Futures Exchange, LLC (CFE). The Global FX segment includes institutional FX trading services.</v>
    <v>1196</v>
    <v>CBOE BZX Exchange</v>
    <v>BATS</v>
    <v>BATS</v>
    <v>433 WEST VAN BUREN STREET, CHICAGO, IL, 60607 US</v>
    <v>125.67</v>
    <v>Investment Banking &amp; Investment Services</v>
    <v>Stock</v>
    <v>44917.737058043749</v>
    <v>1254</v>
    <v>123.045</v>
    <v>13059779642</v>
    <v>Cboe Global Markets, Inc.</v>
    <v>Cboe Global Markets, Inc.</v>
    <v>125.67</v>
    <v>62.533999999999999</v>
    <v>126.19</v>
    <v>123.11</v>
    <v>106082200</v>
    <v>CBOE</v>
    <v>Cboe Global Markets, Inc. (BATS:CBOE)</v>
    <v>165907</v>
    <v>719690</v>
    <v>2006</v>
  </rv>
  <rv s="2">
    <v>1255</v>
  </rv>
  <rv s="0">
    <v>https://www.bing.com/financeapi/forcetrigger?t=a1yrar&amp;q=XNAS%3aNTAP&amp;form=skydnc</v>
    <v>Learn more on Bing</v>
  </rv>
  <rv s="1">
    <v>en-US</v>
    <v>a1yrar</v>
    <v>268435456</v>
    <v>1</v>
    <v>Powered by Refinitiv</v>
    <v>0</v>
    <v>NETAPP, INC. (XNAS:NTAP)</v>
    <v>2</v>
    <v>3</v>
    <v>Finance</v>
    <v>4</v>
    <v>96.82</v>
    <v>58.16</v>
    <v>1.1709000000000001</v>
    <v>-1.615</v>
    <v>-2.6894000000000001E-2</v>
    <v>USD</v>
    <v>NetApp, Inc. (NetApp) is a cloud-led, data-centric software company. The Company delivers a portfolio of cloud services, and storage infrastructure, powered by intelligent data management software. The Company operates through two segments: Hybrid Cloud and Public Cloud. Its Hybrid Cloud segment offers a portfolio of storage management and infrastructure solutions that help customers recast their data centers with the power of cloud. This portfolio is designed to operate with public clouds to unlock the potential of hybrid, multi-cloud operations. Its Public Cloud segment offers a portfolio of products delivered primarily as-a-service, including related support. This portfolio includes cloud storage and data services, and cloud operations services. It offers a portfolio of cloud-connected all-flash, hybrid-flash, and object storage systems. Its solutions and services are generally available on the public clouds, including Microsoft Azure, Google Cloud Platform and Amazon AWS.</v>
    <v>12000</v>
    <v>Nasdaq Stock Market</v>
    <v>XNAS</v>
    <v>XNAS</v>
    <v>3060 Olsen Drive, SAN JOSE, CA, 95128 US</v>
    <v>59.42</v>
    <v>Computers, Phones &amp; Household Electronics</v>
    <v>Stock</v>
    <v>44917.737007696094</v>
    <v>1257</v>
    <v>58.43</v>
    <v>12597031629</v>
    <v>NETAPP, INC.</v>
    <v>NETAPP, INC.</v>
    <v>59.41</v>
    <v>9.1042000000000005</v>
    <v>60.05</v>
    <v>58.435000000000002</v>
    <v>215573400</v>
    <v>NTAP</v>
    <v>NETAPP, INC. (XNAS:NTAP)</v>
    <v>247486</v>
    <v>2071021</v>
    <v>2001</v>
  </rv>
  <rv s="2">
    <v>1258</v>
  </rv>
  <rv s="0">
    <v>https://www.bing.com/financeapi/forcetrigger?t=a1n7yc&amp;q=XNAS%3aAKAM&amp;form=skydnc</v>
    <v>Learn more on Bing</v>
  </rv>
  <rv s="1">
    <v>en-US</v>
    <v>a1n7yc</v>
    <v>268435456</v>
    <v>1</v>
    <v>Powered by Refinitiv</v>
    <v>0</v>
    <v>AKAMAI TECHNOLOGIES, INC. (XNAS:AKAM)</v>
    <v>2</v>
    <v>3</v>
    <v>Finance</v>
    <v>4</v>
    <v>123.25</v>
    <v>76.28</v>
    <v>0.73609999999999998</v>
    <v>-2.17</v>
    <v>-2.5906999999999999E-2</v>
    <v>USD</v>
    <v>Akamai Technologies, Inc. is engaged in providing cloud services for delivering, optimizing and securing content and business applications over the Internet. The Company's products include Kona Site Defender, Bot Manager, Enterprise Application Access, Image &amp; Video Manager, Edge DNS, Enterprise Threat Protector, Identity Cloud, Web Application Protector, Page Integrity Manager, Akamai MFA, Account Protector, Cloud Wrapper, DataStream, EdgeKV and Global Traffic Management. The Company's solutions include the Security Technology Group and the Edge Technology Group. The Security Technology Group includes solutions that are designed to keep infrastructure, Websites, applications, and users safe. The Edge Technology Group includes solutions that are designed to enable business online, including media delivery, Web performance and edge computing solutions. Its solutions blend automation with customizable protections and managed security services.</v>
    <v>8700</v>
    <v>Nasdaq Stock Market</v>
    <v>XNAS</v>
    <v>XNAS</v>
    <v>145 Broadway, CAMBRIDGE, MA, 02142 US</v>
    <v>83.099900000000005</v>
    <v>Software &amp; IT Services</v>
    <v>Stock</v>
    <v>44917.737101793748</v>
    <v>1260</v>
    <v>81.558499999999995</v>
    <v>13170610000</v>
    <v>AKAMAI TECHNOLOGIES, INC.</v>
    <v>AKAMAI TECHNOLOGIES, INC.</v>
    <v>82.99</v>
    <v>26.841000000000001</v>
    <v>83.76</v>
    <v>81.59</v>
    <v>157242300</v>
    <v>AKAM</v>
    <v>AKAMAI TECHNOLOGIES, INC. (XNAS:AKAM)</v>
    <v>415164</v>
    <v>1471067</v>
    <v>1998</v>
  </rv>
  <rv s="2">
    <v>1261</v>
  </rv>
  <rv s="0">
    <v>https://www.bing.com/financeapi/forcetrigger?t=a21tm7&amp;q=XNYS%3aRE&amp;form=skydnc</v>
    <v>Learn more on Bing</v>
  </rv>
  <rv s="1">
    <v>en-US</v>
    <v>a21tm7</v>
    <v>268435456</v>
    <v>1</v>
    <v>Powered by Refinitiv</v>
    <v>0</v>
    <v>EVEREST RE GROUP, LTD. (XNYS:RE)</v>
    <v>2</v>
    <v>3</v>
    <v>Finance</v>
    <v>4</v>
    <v>340.66</v>
    <v>244.57499999999999</v>
    <v>0.60099999999999998</v>
    <v>-3.52</v>
    <v>-1.0500000000000001E-2</v>
    <v>USD</v>
    <v>Everest Re Group, Ltd. through its subsidiaries, is engaged in the underwriting of reinsurance and insurance in the United States, Bermuda and international markets. The Company’s segments include Reinsurance and Insurance. The Reinsurance operation writes worldwide property and casualty reinsurance and specialty lines of business, on both a treaty and facultative basis, through reinsurance brokers, as well as directly with ceding companies. Its products include a range of property and casualty reinsurance and insurance coverages, including marine, aviation, surety, errors and omissions liability (E&amp;O), directors’ and officers’ liability (D&amp;O), medical malpractice, mortgage reinsurance, other specialty lines, accident and health (A&amp;H) and workers’ compensation. The Insurance operation writes property and casualty insurance directly and through brokers, surplus lines brokers and general agents within the United States, Bermuda, Canada, Europe and South America.</v>
    <v>1947</v>
    <v>New York Stock Exchange</v>
    <v>XNYS</v>
    <v>XNYS</v>
    <v>Seon Place, 4Th Floor, 141 Front Street, P.O. Box HM 845, HAMILTON, HM 19 BM</v>
    <v>336.18</v>
    <v>Insurance</v>
    <v>Stock</v>
    <v>44917.737118251564</v>
    <v>1263</v>
    <v>331.06</v>
    <v>12991432101</v>
    <v>EVEREST RE GROUP, LTD.</v>
    <v>EVEREST RE GROUP, LTD.</v>
    <v>333.09500000000003</v>
    <v>25.024899999999999</v>
    <v>335.23</v>
    <v>331.71</v>
    <v>39165030</v>
    <v>RE</v>
    <v>EVEREST RE GROUP, LTD. (XNYS:RE)</v>
    <v>99667</v>
    <v>305646</v>
    <v>1999</v>
  </rv>
  <rv s="2">
    <v>1264</v>
  </rv>
  <rv s="0">
    <v>https://www.bing.com/financeapi/forcetrigger?t=a1ou77&amp;q=XNYS%3aBRO&amp;form=skydnc</v>
    <v>Learn more on Bing</v>
  </rv>
  <rv s="1">
    <v>en-US</v>
    <v>a1ou77</v>
    <v>268435456</v>
    <v>1</v>
    <v>Powered by Refinitiv</v>
    <v>0</v>
    <v>BROWN &amp; BROWN, INC. (XNYS:BRO)</v>
    <v>2</v>
    <v>3</v>
    <v>Finance</v>
    <v>4</v>
    <v>74</v>
    <v>52.91</v>
    <v>0.74</v>
    <v>-0.85499999999999998</v>
    <v>-1.5004999999999999E-2</v>
    <v>USD</v>
    <v>Brown &amp; Brown, Inc. is a diversified insurance agency, wholesale brokerage, insurance programs and service company. It markets and sells insurance products and services, primarily in the property, casualty, and employee benefits areas. Its segments include Retail segment, which provides a broad range of insurance products and services to commercial, public, and quasi-public entities, and to professional and individual customers, as well as non-insurance warranty services and products through its automobile dealer services (F&amp;I) businesses; National Programs segment, which acts as a managing general agent and provides professional liability and related package products; Wholesale Brokerage segment markets and sells excess and surplus commercial and personal lines insurance, primarily through independent agents and brokers, as well as Brown &amp; Brown retail agents, and Services segment provides insurance-related services, including third-party claims administration and adjusting services.</v>
    <v>12023</v>
    <v>New York Stock Exchange</v>
    <v>XNYS</v>
    <v>XNYS</v>
    <v>300 N. Beach Street, DAYTONA BEACH, FL, 32114 US</v>
    <v>56.97</v>
    <v>Insurance</v>
    <v>Stock</v>
    <v>44917.736799015627</v>
    <v>1266</v>
    <v>56.09</v>
    <v>15895857200</v>
    <v>BROWN &amp; BROWN, INC.</v>
    <v>BROWN &amp; BROWN, INC.</v>
    <v>56.97</v>
    <v>25.7469</v>
    <v>56.98</v>
    <v>56.125</v>
    <v>283222400</v>
    <v>BRO</v>
    <v>BROWN &amp; BROWN, INC. (XNYS:BRO)</v>
    <v>298555</v>
    <v>1084593</v>
    <v>1959</v>
  </rv>
  <rv s="2">
    <v>1267</v>
  </rv>
  <rv s="0">
    <v>https://www.bing.com/financeapi/forcetrigger?t=a1uv7w&amp;q=XNYS%3aHRL&amp;form=skydnc</v>
    <v>Learn more on Bing</v>
  </rv>
  <rv s="1">
    <v>en-US</v>
    <v>a1uv7w</v>
    <v>268435456</v>
    <v>1</v>
    <v>Powered by Refinitiv</v>
    <v>0</v>
    <v>HORMEL FOODS CORPORATION (XNYS:HRL)</v>
    <v>2</v>
    <v>3</v>
    <v>Finance</v>
    <v>4</v>
    <v>55.11</v>
    <v>44.21</v>
    <v>0.16339999999999999</v>
    <v>-0.44</v>
    <v>-9.6889999999999997E-3</v>
    <v>USD</v>
    <v>Hormel Foods Corporation is a global food company. Its segments include Grocery Products, Refrigerated Foods, Jennie-O Turkey Store, and International &amp; Other. The Grocery Products segment consists primarily of the processing, marketing, and sale of shelf-stable food products sold predominantly in the retail market, along with the sale of nutritional and private label shelf-stable products to retail, foodservice, and industrial customers. The Refrigerated Foods segment consists primarily of the processing, marketing, and sale of branded and unbranded pork, beef, and poultry products for retail, foodservice, deli, convenience store, and commercial customers. The Jennie-O Turkey Store segment consists primarily of the processing, marketing, and sale of branded and unbranded turkey products for retail, foodservice, and commercial customers. The International &amp; Other segment includes Hormel Foods International, which manufactures, markets, and sells Company's products internationally.</v>
    <v>20000</v>
    <v>New York Stock Exchange</v>
    <v>XNYS</v>
    <v>XNYS</v>
    <v>1 Hormel Pl, AUSTIN, MN, 55912-3680 US</v>
    <v>45.35</v>
    <v>Food &amp; Tobacco</v>
    <v>Stock</v>
    <v>44917.737097314064</v>
    <v>1269</v>
    <v>44.97</v>
    <v>24572696274</v>
    <v>HORMEL FOODS CORPORATION</v>
    <v>HORMEL FOODS CORPORATION</v>
    <v>45.32</v>
    <v>24.956900000000001</v>
    <v>45.41</v>
    <v>44.97</v>
    <v>546424200</v>
    <v>HRL</v>
    <v>HORMEL FOODS CORPORATION (XNYS:HRL)</v>
    <v>436673</v>
    <v>1959863</v>
    <v>1928</v>
  </rv>
  <rv s="2">
    <v>1270</v>
  </rv>
  <rv s="0">
    <v>https://www.bing.com/financeapi/forcetrigger?t=a1w6zr&amp;q=XNAS%3aJKHY&amp;form=skydnc</v>
    <v>Learn more on Bing</v>
  </rv>
  <rv s="1">
    <v>en-US</v>
    <v>a1w6zr</v>
    <v>268435456</v>
    <v>1</v>
    <v>Powered by Refinitiv</v>
    <v>0</v>
    <v>JACK HENRY &amp; ASSOCIATES, INC. (XNAS:JKHY)</v>
    <v>2</v>
    <v>3</v>
    <v>Finance</v>
    <v>4</v>
    <v>212.62</v>
    <v>155.44</v>
    <v>0.64470000000000005</v>
    <v>-3.07</v>
    <v>-1.7218999999999998E-2</v>
    <v>USD</v>
    <v>Jack Henry &amp; Associates, Inc. is a provider of technology solutions and payment processing services primarily for financial services organizations. Its segments include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It offers Payrailz, which provides digital payment solutions.</v>
    <v>6847</v>
    <v>Nasdaq Stock Market</v>
    <v>XNAS</v>
    <v>XNAS</v>
    <v>663 HWY 60, PO BOX 807, MONETT, MO, 65708-0807 US</v>
    <v>177.39</v>
    <v>Software &amp; IT Services</v>
    <v>Stock</v>
    <v>44917.736690810154</v>
    <v>1272</v>
    <v>175.22</v>
    <v>12782199124</v>
    <v>JACK HENRY &amp; ASSOCIATES, INC.</v>
    <v>JACK HENRY &amp; ASSOCIATES, INC.</v>
    <v>177.1</v>
    <v>35.548200000000001</v>
    <v>178.29</v>
    <v>175.22</v>
    <v>72949430</v>
    <v>JKHY</v>
    <v>JACK HENRY &amp; ASSOCIATES, INC. (XNAS:JKHY)</v>
    <v>83259</v>
    <v>531105</v>
    <v>1985</v>
  </rv>
  <rv s="2">
    <v>1273</v>
  </rv>
  <rv s="0">
    <v>https://www.bing.com/financeapi/forcetrigger?t=a1y7rw&amp;q=XNAS%3aVTRS&amp;form=skydnc</v>
    <v>Learn more on Bing</v>
  </rv>
  <rv s="1">
    <v>en-US</v>
    <v>a1y7rw</v>
    <v>268435456</v>
    <v>1</v>
    <v>Powered by Refinitiv</v>
    <v>0</v>
    <v>VIATRIS INC. (XNAS:VTRS)</v>
    <v>2</v>
    <v>3</v>
    <v>Finance</v>
    <v>4</v>
    <v>15.6</v>
    <v>8.42</v>
    <v>1.179</v>
    <v>-0.27</v>
    <v>-2.4885000000000001E-2</v>
    <v>USD</v>
    <v>Viatris Inc. is a global healthcare company. The Company has four segments: Developed Markets, Greater China, JANZ and Emerging Markets. Developed Markets segment comprises its operations primarily in North America and Europe. Greater China segment includes its operations in China, Taiwan and Hong Kong. JANZ segment reflects its operations in Japan, Australia and New Zealand. Emerging Markets segment encompasses its presence in approximately 125 countries with developing markets and emerging economies including in Asia, Africa, Eastern Europe, Latin America and the Middle East, as well as its anti-retroviral franchise. Its portfolio comprises approximately 1,400 approved molecules across a range of key therapeutic areas, including globally recognized iconic and key brands, generics, complex generics, and biosimilars. It operates approximately 40 manufacturing sites worldwide, which produces oral solid doses, injectables, complex dosage forms and active pharmaceutical ingredients.</v>
    <v>37000</v>
    <v>Nasdaq Stock Market</v>
    <v>XNAS</v>
    <v>XNAS</v>
    <v>1000 Mylan Blvd., CANONSBURG, PA, 15317 US</v>
    <v>10.81</v>
    <v>Pharmaceuticals</v>
    <v>Stock</v>
    <v>44917.737051550779</v>
    <v>1275</v>
    <v>10.57</v>
    <v>12830207300</v>
    <v>VIATRIS INC.</v>
    <v>VIATRIS INC.</v>
    <v>10.8</v>
    <v>16.446400000000001</v>
    <v>10.85</v>
    <v>10.58</v>
    <v>1212685000</v>
    <v>VTRS</v>
    <v>VIATRIS INC. (XNAS:VTRS)</v>
    <v>1491870</v>
    <v>9371193</v>
    <v>2019</v>
  </rv>
  <rv s="2">
    <v>1276</v>
  </rv>
  <rv s="0">
    <v>https://www.bing.com/financeapi/forcetrigger?t=a26fww&amp;q=XNAS%3aZBRA&amp;form=skydnc</v>
    <v>Learn more on Bing</v>
  </rv>
  <rv s="1">
    <v>en-US</v>
    <v>a26fww</v>
    <v>268435456</v>
    <v>1</v>
    <v>Powered by Refinitiv</v>
    <v>0</v>
    <v>ZEBRA TECHNOLOGIES CORPORATION (XNAS:ZBRA)</v>
    <v>2</v>
    <v>3</v>
    <v>Finance</v>
    <v>4</v>
    <v>609.32000000000005</v>
    <v>224.86500000000001</v>
    <v>1.6108</v>
    <v>-9.18</v>
    <v>-3.6596999999999998E-2</v>
    <v>USD</v>
    <v>Zebra Technologies Corporation is engaged in providing enterprise asset intelligence solutions in the automatic identification and data capture (AIDC) industry. It designs, manufactures, and sells a range of products and solutions, including cloud-based subscriptions. Its segments include Asset Intelligence &amp; Tracking (AIT) and Enterprise Visibility &amp; Mobility (EVM). The AIT segment is engaged in barcode printing and asset tracking technologies. Its product lines include barcode and card printers, supplies, including temperature-monitoring labels, services, and location solutions. The EVM segment is engaged in providing automatic information and data capture solutions. Its product lines include mobile computing, data capture, radio frequency identification (RFID), fixed industrial scanning and machine vision, services, and workflow optimization solutions. Its workflow optimization solutions include cloud-based software subscriptions, retail solutions, and robotic automation solutions.</v>
    <v>9800</v>
    <v>Nasdaq Stock Market</v>
    <v>XNAS</v>
    <v>XNAS</v>
    <v>3 Overlook Point, LINCOLNSHIRE, IL, 60069 US</v>
    <v>246.42359999999999</v>
    <v>Electronic Equipment &amp; Parts</v>
    <v>Stock</v>
    <v>44917.737053078126</v>
    <v>1278</v>
    <v>241.66</v>
    <v>12476857468</v>
    <v>ZEBRA TECHNOLOGIES CORPORATION</v>
    <v>ZEBRA TECHNOLOGIES CORPORATION</v>
    <v>245.78</v>
    <v>28.6327</v>
    <v>250.84</v>
    <v>241.66</v>
    <v>51629800</v>
    <v>ZBRA</v>
    <v>ZEBRA TECHNOLOGIES CORPORATION (XNAS:ZBRA)</v>
    <v>133030</v>
    <v>500998</v>
    <v>1991</v>
  </rv>
  <rv s="2">
    <v>1279</v>
  </rv>
  <rv s="0">
    <v>https://www.bing.com/financeapi/forcetrigger?t=a21d7w&amp;q=XNAS%3aPTC&amp;form=skydnc</v>
    <v>Learn more on Bing</v>
  </rv>
  <rv s="1">
    <v>en-US</v>
    <v>a21d7w</v>
    <v>268435456</v>
    <v>1</v>
    <v>Powered by Refinitiv</v>
    <v>0</v>
    <v>PTC INC. (XNAS:PTC)</v>
    <v>2</v>
    <v>3</v>
    <v>Finance</v>
    <v>4</v>
    <v>133.13999999999999</v>
    <v>96.55</v>
    <v>1.1674</v>
    <v>-2.84</v>
    <v>-2.2957000000000002E-2</v>
    <v>USD</v>
    <v>PTC Inc. is a software and services company that enables industrial companies to improve growth and profitability with a portfolio of digital solutions. The Company's technology portfolio spans across the computer-aided design (CAD), product lifecycle management (PLM), Industrial Internet of Things (IIoT), and Augmented Reality (AR) markets. It operates through two segments: Software Products and Professional Services. The Software Products segment includes license, subscription, and related support revenue (including updates and technical support) for all its products. The Professional Services segment includes consulting, implementation and training services. Its AR Tools &amp; Solutions include Vuforia Instruct, Vuforia Expert Capture, Vuforia Studio, Vuforia Chalk, Vuforia Engine and Vuforia Work Instructions. Its Industrial Internet of Things (IIoT) include ThingWorx Industrial IoT Solutions Platform, ThingWorx, ThingWorx Kepware Server, ThingWorx Manufacturing Apps and Kepware.</v>
    <v>6503</v>
    <v>Nasdaq Stock Market</v>
    <v>XNAS</v>
    <v>XNAS</v>
    <v>121 Seaport Blvd., BOSTON, MA, 02210 US</v>
    <v>122.89</v>
    <v>Software &amp; IT Services</v>
    <v>Stock</v>
    <v>44917.7370448375</v>
    <v>1281</v>
    <v>120.87</v>
    <v>14198840640</v>
    <v>PTC INC.</v>
    <v>PTC INC.</v>
    <v>122.25</v>
    <v>46.722499999999997</v>
    <v>123.71</v>
    <v>120.87</v>
    <v>117472000</v>
    <v>PTC</v>
    <v>PTC INC. (XNAS:PTC)</v>
    <v>67361</v>
    <v>731173</v>
    <v>1985</v>
  </rv>
  <rv s="2">
    <v>1282</v>
  </rv>
  <rv s="0">
    <v>https://www.bing.com/financeapi/forcetrigger?t=a1wifr&amp;q=XNYS%3aKIM&amp;form=skydnc</v>
    <v>Learn more on Bing</v>
  </rv>
  <rv s="1">
    <v>en-US</v>
    <v>a1wifr</v>
    <v>268435456</v>
    <v>1</v>
    <v>Powered by Refinitiv</v>
    <v>0</v>
    <v>KIMCO REALTY CORPORATION (XNYS:KIM)</v>
    <v>2</v>
    <v>3</v>
    <v>Finance</v>
    <v>4</v>
    <v>26.565000000000001</v>
    <v>17.71</v>
    <v>1.4117999999999999</v>
    <v>-0.46</v>
    <v>-2.1801000000000001E-2</v>
    <v>USD</v>
    <v>Kimco Realty Corporation is a real estate investment trust (REIT). The Company owns and operates of open-air, grocery-anchored shopping centers and mixed-use assets. The Company's portfolio is primarily concentrated in the first-ring suburbs of the top major metropolitan markets, including in high-barrier-to-entry coastal markets and rapidly expanding Sun Belt cities, with a tenant mix focused on essential, necessity-based goods and services. The Company owns interests in approximately 526 United States shopping centers and mixed-use assets comprising 91 million square feet of gross leasable space. The Company's properties include Arcadia Biltmore Plaza, Entrada De Oro Plaza, La Verne Town Center, Rancho San Marcos Village, Santee Trolley Square, Park Hill Plaza, Randalls Center/Kings Crossing, Tomball Marketplace, West Alex-Resi, The Marketplace at Factoria, Gladden Farms, Treasure Valley, The Shoppes at Caveness Farms, and Long Island, NY shopping centers, among others.</v>
    <v>606</v>
    <v>New York Stock Exchange</v>
    <v>XNYS</v>
    <v>XNYS</v>
    <v>500 North Broadway, Suite 201, P.O. Box 9010, JERICHO, NY, 11753 US</v>
    <v>21.01</v>
    <v>Residential &amp; Commercial REIT</v>
    <v>Stock</v>
    <v>44917.737034837497</v>
    <v>1284</v>
    <v>20.64</v>
    <v>12765030912</v>
    <v>KIMCO REALTY CORPORATION</v>
    <v>KIMCO REALTY CORPORATION</v>
    <v>20.9</v>
    <v>55.982999999999997</v>
    <v>21.1</v>
    <v>20.64</v>
    <v>618460800</v>
    <v>KIM</v>
    <v>KIMCO REALTY CORPORATION (XNYS:KIM)</v>
    <v>860142</v>
    <v>3963984</v>
    <v>1994</v>
  </rv>
  <rv s="2">
    <v>1285</v>
  </rv>
  <rv s="0">
    <v>https://www.bing.com/financeapi/forcetrigger?t=a1sifr&amp;q=XNAS%3aEXPE&amp;form=skydnc</v>
    <v>Learn more on Bing</v>
  </rv>
  <rv s="1">
    <v>en-US</v>
    <v>a1sifr</v>
    <v>268435456</v>
    <v>1</v>
    <v>Powered by Refinitiv</v>
    <v>0</v>
    <v>EXPEDIA GROUP, INC. (XNAS:EXPE)</v>
    <v>2</v>
    <v>3</v>
    <v>Finance</v>
    <v>4</v>
    <v>217.72</v>
    <v>82.515000000000001</v>
    <v>1.5740000000000001</v>
    <v>-3.8862999999999999</v>
    <v>-4.4934000000000002E-2</v>
    <v>USD</v>
    <v>Expedia Group, Inc. is an online travel company. It operates through three segments. Its Retail segment provides a full range of travel and advertising services through consumer brands, which includes Brand Expedia, Hotels.com, Vrbo, and other brands, including Orbitz, Travelocity, ebookers and Wotif Group. Its B2B segment operates its Expedia Business Services organization, which includes Expedia Partner Solutions. Expedia Partner Solutions partners with businesses in a spectrum of countries across a range of travel and non-travel verticals, including corporate travel management, airlines, travel agents, online retailers and financial institutions. Its trivago segment is engaged in sending referrals to online travel companies and travel service providers from its hotel metasearch Websites. trivago is its hotel metasearch company, based in Dusseldorf, Germany, which gives travelers access to price comparisons from various of booking websites for various of hotels and accommodations.</v>
    <v>14800</v>
    <v>Nasdaq Stock Market</v>
    <v>XNAS</v>
    <v>XNAS</v>
    <v>1111 Expedia Group Way W, SEATTLE, WA, 98119-1111 US</v>
    <v>85.76</v>
    <v>Hotels &amp; Entertainment Services</v>
    <v>Stock</v>
    <v>44917.737050346877</v>
    <v>1287</v>
    <v>82.515000000000001</v>
    <v>12893685876</v>
    <v>EXPEDIA GROUP, INC.</v>
    <v>EXPEDIA GROUP, INC.</v>
    <v>85.34</v>
    <v>20.3583</v>
    <v>86.49</v>
    <v>82.603700000000003</v>
    <v>156090900</v>
    <v>EXPE</v>
    <v>EXPEDIA GROUP, INC. (XNAS:EXPE)</v>
    <v>803524</v>
    <v>2232346</v>
    <v>2005</v>
  </rv>
  <rv s="2">
    <v>1288</v>
  </rv>
  <rv s="0">
    <v>https://www.bing.com/financeapi/forcetrigger?t=a1ydqh&amp;q=XNAS%3aNDSN&amp;form=skydnc</v>
    <v>Learn more on Bing</v>
  </rv>
  <rv s="1">
    <v>en-US</v>
    <v>a1ydqh</v>
    <v>268435456</v>
    <v>1</v>
    <v>Powered by Refinitiv</v>
    <v>0</v>
    <v>NORDSON CORPORATION (XNAS:NDSN)</v>
    <v>2</v>
    <v>3</v>
    <v>Finance</v>
    <v>4</v>
    <v>258.76499999999999</v>
    <v>194.89</v>
    <v>0.90769999999999995</v>
    <v>-5.09</v>
    <v>-2.1368999999999999E-2</v>
    <v>USD</v>
    <v>Nordson Corporation is a precision technology company. The Company engineers, manufactures and markets differentiated products used for dispensing adhesives, coatings, sealants, biomaterials and other materials; for fluid management; for test and inspection; and for ultraviolet (UV) curing and plasma surface treatment. The Company's segments include Industrial Precision Solutions (IPS) and Advanced Technology Solutions (ATS). IPS segment delivers dispensing and processing technology to end markets. Its components are used for dispensing adhesives, coatings, paint, finishes, sealants, and other materials. IPS segment serves the industrial, consumer durables and non-durables markets. Its related single-use plastic molded syringes, cartridges, tips, fluid connection components, tubing, balloons and catheters are used to dispense or control fluids in production processes or within customers' end products. ATS segment serves the electronics, medical and related high-tech industrial markets.</v>
    <v>7331</v>
    <v>Nasdaq Stock Market</v>
    <v>XNAS</v>
    <v>XNAS</v>
    <v>28601 Clemens Rd, WESTLAKE, OH, 44145 US</v>
    <v>237.755</v>
    <v>Machinery, Equipment &amp; Components</v>
    <v>Stock</v>
    <v>44917.737113645315</v>
    <v>1290</v>
    <v>233.11</v>
    <v>13614760000</v>
    <v>NORDSON CORPORATION</v>
    <v>NORDSON CORPORATION</v>
    <v>236.62</v>
    <v>27.0245</v>
    <v>238.2</v>
    <v>233.11</v>
    <v>57156820</v>
    <v>NDSN</v>
    <v>NORDSON CORPORATION (XNAS:NDSN)</v>
    <v>65823</v>
    <v>259723</v>
    <v>1935</v>
  </rv>
  <rv s="2">
    <v>1291</v>
  </rv>
  <rv s="0">
    <v>https://www.bing.com/financeapi/forcetrigger?t=a1r9lh&amp;q=XNYS%3aDPZ&amp;form=skydnc</v>
    <v>Learn more on Bing</v>
  </rv>
  <rv s="1">
    <v>en-US</v>
    <v>a1r9lh</v>
    <v>268435456</v>
    <v>1</v>
    <v>Powered by Refinitiv</v>
    <v>0</v>
    <v>DOMINO'S PIZZA, INC. (XNYS:DPZ)</v>
    <v>2</v>
    <v>3</v>
    <v>Finance</v>
    <v>4</v>
    <v>567.57000000000005</v>
    <v>299.41000000000003</v>
    <v>0.74339999999999995</v>
    <v>-12.99</v>
    <v>-3.6252E-2</v>
    <v>USD</v>
    <v>Domino’s Pizza, Inc. is a quick-service restaurant company. The Company operates through three segments: U.S. Stores, Supply Chain and International Franchise. The U.S. Stores segment includes operations with respect to all franchised and Company-owned stores throughout the United States. Its U.S. stores segment consists of over 6,185 franchised stores and also operates a network of approximately 375 U.S. Company-owned stores. The Supply Chain segment primarily includes the distribution of food, equipment and supplies to stores from the Company’s supply chain center operations in the United States and Canada. The International Franchise segment primarily includes operations related to the Company’s franchising business in foreign markets. It operates over two distinct service models within its stores, which include delivery and carryout. The Company is operating pizza restaurants in approximately 18,800 locations in over 90 markets.</v>
    <v>13500</v>
    <v>New York Stock Exchange</v>
    <v>XNYS</v>
    <v>XNYS</v>
    <v>30 Frank Lloyd Wright Dr, ANN ARBOR, MI, 48106 US</v>
    <v>356.51</v>
    <v>Hotels &amp; Entertainment Services</v>
    <v>Stock</v>
    <v>44917.737113506249</v>
    <v>1293</v>
    <v>345.34</v>
    <v>12224821889</v>
    <v>DOMINO'S PIZZA, INC.</v>
    <v>DOMINO'S PIZZA, INC.</v>
    <v>356.51</v>
    <v>29.033100000000001</v>
    <v>358.33</v>
    <v>345.34</v>
    <v>35399380</v>
    <v>DPZ</v>
    <v>DOMINO'S PIZZA, INC. (XNYS:DPZ)</v>
    <v>100735</v>
    <v>516792</v>
    <v>2002</v>
  </rv>
  <rv s="2">
    <v>1294</v>
  </rv>
  <rv s="0">
    <v>https://www.bing.com/financeapi/forcetrigger?t=a1vp4c&amp;q=XNYS%3aIPG&amp;form=skydnc</v>
    <v>Learn more on Bing</v>
  </rv>
  <rv s="1">
    <v>en-US</v>
    <v>a1vp4c</v>
    <v>268435456</v>
    <v>1</v>
    <v>Powered by Refinitiv</v>
    <v>0</v>
    <v>THE INTERPUBLIC GROUP OF COMPANIES, INC. (XNYS:IPG)</v>
    <v>2</v>
    <v>3</v>
    <v>Finance</v>
    <v>4</v>
    <v>39.979999999999997</v>
    <v>25.14</v>
    <v>1.0914999999999999</v>
    <v>-0.6</v>
    <v>-1.8237E-2</v>
    <v>USD</v>
    <v>The Interpublic Group of Companies, Inc. is a global advertising and marketing services company. The Company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v>
    <v>55600</v>
    <v>New York Stock Exchange</v>
    <v>XNYS</v>
    <v>XNYS</v>
    <v>909 Third Avenue, NEW YORK, NY, 10022 US</v>
    <v>32.659999999999997</v>
    <v>Media &amp; Publishing</v>
    <v>Stock</v>
    <v>44917.737087789064</v>
    <v>1296</v>
    <v>32.299999999999997</v>
    <v>12549347809</v>
    <v>THE INTERPUBLIC GROUP OF COMPANIES, INC.</v>
    <v>THE INTERPUBLIC GROUP OF COMPANIES, INC.</v>
    <v>32.549999999999997</v>
    <v>13.079800000000001</v>
    <v>32.9</v>
    <v>32.299999999999997</v>
    <v>388524700</v>
    <v>IPG</v>
    <v>THE INTERPUBLIC GROUP OF COMPANIES, INC. (XNYS:IPG)</v>
    <v>626173</v>
    <v>3140382</v>
    <v>1930</v>
  </rv>
  <rv s="2">
    <v>1297</v>
  </rv>
  <rv s="0">
    <v>https://www.bing.com/financeapi/forcetrigger?t=a243pr&amp;q=XNAS%3aTECH&amp;form=skydnc</v>
    <v>Learn more on Bing</v>
  </rv>
  <rv s="1">
    <v>en-US</v>
    <v>a243pr</v>
    <v>268435456</v>
    <v>1</v>
    <v>Powered by Refinitiv</v>
    <v>0</v>
    <v>BIO-TECHNE CORPORATION (XNAS:TECH)</v>
    <v>2</v>
    <v>3</v>
    <v>Finance</v>
    <v>4</v>
    <v>130.74</v>
    <v>68.002499999999998</v>
    <v>1.2571000000000001</v>
    <v>-1.93</v>
    <v>-2.3205E-2</v>
    <v>USD</v>
    <v>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v>
    <v>3000</v>
    <v>Nasdaq Stock Market</v>
    <v>XNAS</v>
    <v>XNAS</v>
    <v>614 MCKINLEY PL N E, MINNEAPOLIS, MN, 55413 US</v>
    <v>82.84</v>
    <v>Biotechnology &amp; Medical Research</v>
    <v>Stock</v>
    <v>44917.736421399997</v>
    <v>1299</v>
    <v>81.17</v>
    <v>13055160000</v>
    <v>BIO-TECHNE CORPORATION</v>
    <v>BIO-TECHNE CORPORATION</v>
    <v>81.86</v>
    <v>46.602200000000003</v>
    <v>83.17</v>
    <v>81.239999999999995</v>
    <v>156969500</v>
    <v>TECH</v>
    <v>BIO-TECHNE CORPORATION (XNAS:TECH)</v>
    <v>102456</v>
    <v>915327</v>
    <v>1981</v>
  </rv>
  <rv s="2">
    <v>1300</v>
  </rv>
  <rv s="0">
    <v>https://www.bing.com/financeapi/forcetrigger?t=a24qnm&amp;q=XNAS%3aUAL&amp;form=skydnc</v>
    <v>Learn more on Bing</v>
  </rv>
  <rv s="1">
    <v>en-US</v>
    <v>a24qnm</v>
    <v>268435456</v>
    <v>1</v>
    <v>Powered by Refinitiv</v>
    <v>0</v>
    <v>UNITED AIRLINES HOLDINGS, INC. (XNAS:UAL)</v>
    <v>2</v>
    <v>3</v>
    <v>Finance</v>
    <v>4</v>
    <v>53.115000000000002</v>
    <v>30.54</v>
    <v>1.343</v>
    <v>-1.7749999999999999</v>
    <v>-4.5513000000000005E-2</v>
    <v>USD</v>
    <v>United Airlines Holdings, Inc. is a holding company and its principal, wholly owned subsidiary is United Airlines, Inc. (United). It transports people and cargo throughout North America and to destinations in Asia, Europe, Africa, the Pacific, the Middle East and Latin America. The Company, through its wholly owned subsidiary, United and its regional carriers, operates across six continents, with hubs at Newark Liberty International Airport (EWR), Chicago O'Hare International Airport (ORD), Denver International Airport (DEN), George Bush Intercontinental Airport (IAH), Los Angeles International Airport (LAX), A.B. Won Pat International Airport (GUM), San Francisco International Airport (SFO) and Washington Dulles International Airport (IAD). Its hub and spoke system allows it to transport passengers between several destinations with more frequent service. United has contractual relationships with various regional carriers to provide regional aircraft service branded as United Express.</v>
    <v>90800</v>
    <v>Nasdaq Stock Market</v>
    <v>XNAS</v>
    <v>XNAS</v>
    <v>E. Anna Ha - Whqld, 233 South Wacker Drive, CHICAGO, IL, 60606 US</v>
    <v>38.979999999999997</v>
    <v>Passenger Transportation Services</v>
    <v>Stock</v>
    <v>44917.737105277345</v>
    <v>1302</v>
    <v>37.21</v>
    <v>12750190000</v>
    <v>UNITED AIRLINES HOLDINGS, INC.</v>
    <v>UNITED AIRLINES HOLDINGS, INC.</v>
    <v>38.78</v>
    <v>8.7719000000000005</v>
    <v>39</v>
    <v>37.225000000000001</v>
    <v>326927800</v>
    <v>UAL</v>
    <v>UNITED AIRLINES HOLDINGS, INC. (XNAS:UAL)</v>
    <v>3182433</v>
    <v>6736639</v>
    <v>1968</v>
  </rv>
  <rv s="2">
    <v>1303</v>
  </rv>
  <rv s="0">
    <v>https://www.bing.com/financeapi/forcetrigger?t=a1x7oc&amp;q=XNYS%3aLW&amp;form=skydnc</v>
    <v>Learn more on Bing</v>
  </rv>
  <rv s="1">
    <v>en-US</v>
    <v>a1x7oc</v>
    <v>268435456</v>
    <v>1</v>
    <v>Powered by Refinitiv</v>
    <v>0</v>
    <v>LAMB WESTON HOLDINGS, INC. (XNYS:LW)</v>
    <v>2</v>
    <v>3</v>
    <v>Finance</v>
    <v>4</v>
    <v>89.105000000000004</v>
    <v>49.71</v>
    <v>0.51380000000000003</v>
    <v>-0.47</v>
    <v>-5.3020000000000003E-3</v>
    <v>USD</v>
    <v>Lamb Weston Holdings, Inc. is a global producer, distributor, and marketer of value-added frozen potato products. The Company's Global segment includes frozen potato products sold in North America and international markets generally to the North American based restaurant chains and international customers comprised of global and regional quick service and full-service restaurant chains, foodservice distributors, and retailers. The Foodservice segment includes frozen potato products sold throughout the United States and Canada to commercial distributors, restaurant chains generally outside the North American-based restaurant chains, and non-commercial channels. The Retail segment includes consumer-facing frozen potato products sold primarily to grocery, mass merchants, clubs, and specialty retailers. The Other segment primarily includes its vegetable, and dairy businesses, as well as unrealized mark-to-market adjustments associated with commodity hedging contracts.</v>
    <v>8000</v>
    <v>New York Stock Exchange</v>
    <v>XNYS</v>
    <v>XNYS</v>
    <v>599 S Rivershore Ln, EAGLE, ID, 83616-4979 US</v>
    <v>88.76</v>
    <v>Food &amp; Tobacco</v>
    <v>Stock</v>
    <v>44917.737032267971</v>
    <v>1305</v>
    <v>87.67</v>
    <v>12683035216</v>
    <v>LAMB WESTON HOLDINGS, INC.</v>
    <v>LAMB WESTON HOLDINGS, INC.</v>
    <v>88.06</v>
    <v>31.897400000000001</v>
    <v>88.65</v>
    <v>88.18</v>
    <v>143831200</v>
    <v>LW</v>
    <v>LAMB WESTON HOLDINGS, INC. (XNYS:LW)</v>
    <v>338318</v>
    <v>1569221</v>
    <v>2016</v>
  </rv>
  <rv s="2">
    <v>1306</v>
  </rv>
  <rv s="0">
    <v>https://www.bing.com/financeapi/forcetrigger?t=a22zlh&amp;q=XNAS%3aSIVB&amp;form=skydnc</v>
    <v>Learn more on Bing</v>
  </rv>
  <rv s="1">
    <v>en-US</v>
    <v>a22zlh</v>
    <v>268435456</v>
    <v>1</v>
    <v>Powered by Refinitiv</v>
    <v>0</v>
    <v>SVB FINANCIAL GROUP (XNAS:SIVB)</v>
    <v>2</v>
    <v>3</v>
    <v>Finance</v>
    <v>4</v>
    <v>752.68</v>
    <v>198.1</v>
    <v>1.498</v>
    <v>-9.6549999999999994</v>
    <v>-4.4421000000000002E-2</v>
    <v>USD</v>
    <v>SVB Financial Group is a financial services company, as well as a bank holding and a financial holding company. The Company offers commercial and private banking products and services through its principal subsidiary, Silicon Valley Bank (the Bank). The Company operates through four segments: Global Commercial Bank (GCB), SVB Private Bank, SVB Capital and SVB Securities. The GCB segment consists of the operations of its Commercial Bank, its Global Fund Banking Division and SVB Wine. The SVB Private Bank segment is the private banking and wealth management division of the Bank and provides an array of personal financial solutions for consumers. The SVB Capital segment is engaged in the venture capital and credit investment arm of SVB Financial Group, which focuses primarily on funds management. The SVB Securities segment is an investment bank that is focused on the economy and operates as a wholly owned subsidiary of SVB Financial Group.</v>
    <v>8429</v>
    <v>Nasdaq Stock Market</v>
    <v>XNAS</v>
    <v>XNAS</v>
    <v>3003 TASMAN DR, SANTA CLARA, CA, 95054 US</v>
    <v>214.16</v>
    <v>Banking Services</v>
    <v>Stock</v>
    <v>44917.737050312498</v>
    <v>1308</v>
    <v>207.63</v>
    <v>12275630203</v>
    <v>SVB FINANCIAL GROUP</v>
    <v>SVB FINANCIAL GROUP</v>
    <v>213.65</v>
    <v>8.0680999999999994</v>
    <v>217.35</v>
    <v>207.69499999999999</v>
    <v>59104120</v>
    <v>SIVB</v>
    <v>SVB FINANCIAL GROUP (XNAS:SIVB)</v>
    <v>270182</v>
    <v>1083644</v>
    <v>1999</v>
  </rv>
  <rv s="2">
    <v>1309</v>
  </rv>
  <rv s="0">
    <v>https://www.bing.com/financeapi/forcetrigger?t=a1vo7w&amp;q=XNYS%3aIP&amp;form=skydnc</v>
    <v>Learn more on Bing</v>
  </rv>
  <rv s="1">
    <v>en-US</v>
    <v>a1vo7w</v>
    <v>268435456</v>
    <v>1</v>
    <v>Powered by Refinitiv</v>
    <v>0</v>
    <v>INTERNATIONAL PAPER COMPANY (XNYS:IP)</v>
    <v>2</v>
    <v>3</v>
    <v>Finance</v>
    <v>4</v>
    <v>50.23</v>
    <v>30.69</v>
    <v>1.0082</v>
    <v>-0.7</v>
    <v>-2.0196000000000002E-2</v>
    <v>USD</v>
    <v>International Paper Company is a producer of renewable fiber-based packaging and pulp products with manufacturing operations. The Company operates through two segments: Industrial Packaging and Global Cellulose Fibers. The Industrial Packaging segment is a manufacturer of containerboard in the United States. The Industrial Packaging segment offers products, including linerboard, medium, white top, recycled linerboard, recycled medium and saturating kraft. The Cellulose Fibers segment offers a product portfolio, including fluff, market and specialty pulps. The Company operates over 24 pulp and packaging mills, approximately 163 converting and packaging plants, over 16 recycling plants and over three bag facilities. Its production facilities are located in Canada, Europe, North Africa and Latin America, which includes over four pulp and packaging mills, approximately 37 converting and packaging plants, and over two recycling plants.</v>
    <v>38200</v>
    <v>New York Stock Exchange</v>
    <v>XNYS</v>
    <v>XNYS</v>
    <v>6400 Poplar Ave, MEMPHIS, TN, 38197 US</v>
    <v>34.445</v>
    <v>Containers &amp; Packaging</v>
    <v>Stock</v>
    <v>44917.737113714844</v>
    <v>1311</v>
    <v>33.89</v>
    <v>12078553200</v>
    <v>INTERNATIONAL PAPER COMPANY</v>
    <v>INTERNATIONAL PAPER COMPANY</v>
    <v>34.4</v>
    <v>6.5848000000000004</v>
    <v>34.659999999999997</v>
    <v>33.96</v>
    <v>355670000</v>
    <v>IP</v>
    <v>INTERNATIONAL PAPER COMPANY (XNYS:IP)</v>
    <v>4079732</v>
    <v>3064110</v>
    <v>1941</v>
  </rv>
  <rv s="2">
    <v>1312</v>
  </rv>
  <rv s="0">
    <v>https://www.bing.com/financeapi/forcetrigger?t=a24hfr&amp;q=XNAS%3aTRMB&amp;form=skydnc</v>
    <v>Learn more on Bing</v>
  </rv>
  <rv s="1">
    <v>en-US</v>
    <v>a24hfr</v>
    <v>268435456</v>
    <v>1</v>
    <v>Powered by Refinitiv</v>
    <v>0</v>
    <v>TRIMBLE INC. (XNAS:TRMB)</v>
    <v>2</v>
    <v>3</v>
    <v>Finance</v>
    <v>4</v>
    <v>88.9</v>
    <v>47.75</v>
    <v>1.5745</v>
    <v>-2.04</v>
    <v>-4.0955999999999999E-2</v>
    <v>USD</v>
    <v>Trimble Inc. is a provider of technology solutions. The Company enables professionals and field mobile workers to improve or transform their work processes. It operates through four segments: Buildings and Infrastructure, Geospatial, Resources and Utilities, and Transportation. The Buildings and Infrastructure segment serves customers working in architecture, engineering, construction, and operations and maintenance. The Geospatial segment primarily serves customers working in surveying, engineering, and government. The Company's product portfolios are focused on surveying and geospatial and geographic information systems (GIS). The Resources and Utilities segment serves customers working in agriculture, forestry and utilities. Its product portfolio addresses the agriculture market. Its transportation solutions provide capabilities for the long-haul trucking and freight shipper markets. The Company is also focused on operations solutions for the heavy civil construction industry.</v>
    <v>11931</v>
    <v>Nasdaq Stock Market</v>
    <v>XNAS</v>
    <v>XNAS</v>
    <v>10368 Westmoor Dr, WESTMINSTER, CO, 80021 US</v>
    <v>49.195</v>
    <v>Software &amp; IT Services</v>
    <v>Stock</v>
    <v>44917.737108217189</v>
    <v>1314</v>
    <v>47.75</v>
    <v>11781261919</v>
    <v>TRIMBLE INC.</v>
    <v>TRIMBLE INC.</v>
    <v>49.09</v>
    <v>26.153199999999998</v>
    <v>49.81</v>
    <v>47.77</v>
    <v>246624700</v>
    <v>TRMB</v>
    <v>TRIMBLE INC. (XNAS:TRMB)</v>
    <v>338001</v>
    <v>1309251</v>
    <v>2016</v>
  </rv>
  <rv s="2">
    <v>1315</v>
  </rv>
  <rv s="0">
    <v>https://www.bing.com/financeapi/forcetrigger?t=a23vm7&amp;q=XNAS%3aNLOK&amp;form=skydnc</v>
    <v>Learn more on Bing</v>
  </rv>
  <rv s="1">
    <v>en-US</v>
    <v>a23vm7</v>
    <v>268435456</v>
    <v>1</v>
    <v>Powered by Refinitiv</v>
    <v>0</v>
    <v>GEN DIGITAL INC. (XNAS:GEN)</v>
    <v>2</v>
    <v>3</v>
    <v>Finance</v>
    <v>4</v>
    <v>30.914999999999999</v>
    <v>20.12</v>
    <v>0.74590000000000001</v>
    <v>-0.39</v>
    <v>-1.8130999999999998E-2</v>
    <v>USD</v>
    <v>Gen Digital Inc, formerly NortonLifeLock Inc., is engaged in providing a consumer Cyber Safety platform. The Company helps customers to protect their computer and mobile devices from online threats, safeguard their identity and personal information and strengthen online privacy capabilities and functionalities. It provides protection across three Cyber Safety categories, including security, identity protection and online privacy. Its consumer security products include Norton 360 Security offerings, Norton Security, Norton Secure virtual private network (VPN), and other consumer security solutions. Its Identity and information protection products include Norton 360 with LifeLock offerings, LifeLock identity theft protection and other information protection solutions. It sells subscription-based Cyber Safety solutions primarily direct-to-consumer through its portfolio of Websites and indirectly through partner relationships with retailers and telecom service providers.</v>
    <v>2700</v>
    <v>Nasdaq Stock Market</v>
    <v>XNAS</v>
    <v>XNAS</v>
    <v>60 E Rio Salado Parkway, Suite 1000, TEMPE, AZ, 85281 US</v>
    <v>21.31</v>
    <v>Software &amp; IT Services</v>
    <v>Stock</v>
    <v>44917.737034200778</v>
    <v>1317</v>
    <v>21.1</v>
    <v>14056838400</v>
    <v>GEN DIGITAL INC.</v>
    <v>GEN DIGITAL INC.</v>
    <v>21.27</v>
    <v>21.684799999999999</v>
    <v>21.51</v>
    <v>21.12</v>
    <v>665570000</v>
    <v>GEN</v>
    <v>GEN DIGITAL INC. (XNAS:GEN)</v>
    <v>620621</v>
    <v>4524781</v>
    <v>1988</v>
  </rv>
  <rv s="2">
    <v>1318</v>
  </rv>
  <rv s="0">
    <v>https://www.bing.com/financeapi/forcetrigger?t=a213kr&amp;q=XNAS%3aPOOL&amp;form=skydnc</v>
    <v>Learn more on Bing</v>
  </rv>
  <rv s="1">
    <v>en-US</v>
    <v>a213kr</v>
    <v>268435456</v>
    <v>1</v>
    <v>Powered by Refinitiv</v>
    <v>0</v>
    <v>POOL CORPORATION (XNAS:POOL)</v>
    <v>2</v>
    <v>3</v>
    <v>Finance</v>
    <v>4</v>
    <v>569.46</v>
    <v>278.10039999999998</v>
    <v>0.82809999999999995</v>
    <v>-14.41</v>
    <v>-4.6233000000000003E-2</v>
    <v>USD</v>
    <v>Pool Corporation is a distributor of swimming pool supplies, equipment and related leisure products. The Company is a distributor of irrigation and landscape products in the United States. The Company operates sales centers in North America, Europe and Australia through its distribution networks, which includes SCP Distributors (SCP), Superior Pool Products (Superior), Horizon Distributors (Horizon), National Pool Tile (NPT) and Sun Wholesale Supply, Inc. (Sun Wholesale). The Company's NPT network primarily serves the swimming pool market but does provide some overlap with the irrigation and landscape industries as it offers its brand of pool tile, composite pool finish products and hardscapes. It also offers virtual tools for homeowners to select and design their pool and outdoor environments, working with their chosen contractors to install these products. The Company offers its products to swimming pool remodelers and builders, specialty retailers, and among others.</v>
    <v>5500</v>
    <v>Nasdaq Stock Market</v>
    <v>XNAS</v>
    <v>XNAS</v>
    <v>4TH FLOOR, 109 NORTHPARK BLVD, COVINGTON, LA, 70433-5001 US</v>
    <v>306.60000000000002</v>
    <v>Leisure Products</v>
    <v>Stock</v>
    <v>44917.737071839845</v>
    <v>1320</v>
    <v>296.88</v>
    <v>11608577807</v>
    <v>POOL CORPORATION</v>
    <v>POOL CORPORATION</v>
    <v>306.60000000000002</v>
    <v>15.936299999999999</v>
    <v>311.68</v>
    <v>297.27</v>
    <v>39050620</v>
    <v>POOL</v>
    <v>POOL CORPORATION (XNAS:POOL)</v>
    <v>112881</v>
    <v>459783</v>
    <v>1993</v>
  </rv>
  <rv s="2">
    <v>1321</v>
  </rv>
  <rv s="0">
    <v>https://www.bing.com/financeapi/forcetrigger?t=a237gh&amp;q=XNYS%3aSNA&amp;form=skydnc</v>
    <v>Learn more on Bing</v>
  </rv>
  <rv s="1">
    <v>en-US</v>
    <v>a237gh</v>
    <v>268435456</v>
    <v>1</v>
    <v>Powered by Refinitiv</v>
    <v>0</v>
    <v>SNAP-ON INCORPORATED (XNYS:SNA)</v>
    <v>2</v>
    <v>3</v>
    <v>Finance</v>
    <v>4</v>
    <v>245.56</v>
    <v>190.08</v>
    <v>1.0916999999999999</v>
    <v>-7.86</v>
    <v>-3.4286999999999998E-2</v>
    <v>USD</v>
    <v>Snap-on Incorporated is a manufacturer and marketer of tools, equipment, diagnostics, repair information and systems solutions. The Company’s segments include the Commercial and Industrial Group, which serves a range of industrial and commercial customers worldwide, including customers in the aerospace, natural resources, government, power generation, transportation and technical education market segments, through direct and distributor channels, and the Snap-on Tools Group, which provides vehicle service and repair technicians through its worldwide mobile tool distribution channel. Its segments also include the Repair Systems and Information Group, which consists of business operations serving other professional vehicle repair customers worldwide, owners and managers of independent repair shops and original equipment manufacturer dealerships, through direct and distributor channels, and Financial Services, which consists of the business operations of its finance subsidiaries.</v>
    <v>12800</v>
    <v>New York Stock Exchange</v>
    <v>XNYS</v>
    <v>XNYS</v>
    <v>2801 80th St, KENOSHA, WI, 53143 US</v>
    <v>227.14</v>
    <v>Machinery, Equipment &amp; Components</v>
    <v>Stock</v>
    <v>44917.736906099221</v>
    <v>1323</v>
    <v>221.38</v>
    <v>11767374203</v>
    <v>SNAP-ON INCORPORATED</v>
    <v>SNAP-ON INCORPORATED</v>
    <v>227.14</v>
    <v>13.890599999999999</v>
    <v>229.24</v>
    <v>221.38</v>
    <v>53154640</v>
    <v>SNA</v>
    <v>SNAP-ON INCORPORATED (XNYS:SNA)</v>
    <v>152511</v>
    <v>300177</v>
    <v>1930</v>
  </rv>
  <rv s="2">
    <v>1324</v>
  </rv>
  <rv s="0">
    <v>https://www.bing.com/financeapi/forcetrigger?t=a1odxm&amp;q=XNYS%3aBF.B&amp;form=skydnc</v>
    <v>Learn more on Bing</v>
  </rv>
  <rv s="1">
    <v>en-US</v>
    <v>a1odxm</v>
    <v>268435456</v>
    <v>1</v>
    <v>Powered by Refinitiv</v>
    <v>0</v>
    <v>BROWN-FORMAN CORPORATION (XNYS:BF.B)</v>
    <v>2</v>
    <v>3</v>
    <v>Finance</v>
    <v>4</v>
    <v>78.150000000000006</v>
    <v>60.23</v>
    <v>0.68469999999999998</v>
    <v>-0.82</v>
    <v>-1.2272E-2</v>
    <v>USD</v>
    <v>Brown-Forman Corporation is a spirits and wine company. The Company manufactures, distill, bottle, import, export, market, and sell a range of beverage alcohol products. The Company has a portfolio of approximately 40 spirit, ready-to-drink (RTD) cocktail, and wine brands. Its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Fords Gin and Herradura Tequilas.</v>
    <v>5200</v>
    <v>New York Stock Exchange</v>
    <v>XNYS</v>
    <v>XNYS</v>
    <v>850 DIXIE HWY, LOUISVILLE, KY, 40210 US</v>
    <v>66.739999999999995</v>
    <v>Beverages</v>
    <v>Stock</v>
    <v>44917.73710045078</v>
    <v>1326</v>
    <v>65.89</v>
    <v>31981280000</v>
    <v>BROWN-FORMAN CORPORATION</v>
    <v>BROWN-FORMAN CORPORATION</v>
    <v>66.739999999999995</v>
    <v>36.230899999999998</v>
    <v>66.819999999999993</v>
    <v>66</v>
    <v>479150100</v>
    <v>BF.B</v>
    <v>BROWN-FORMAN CORPORATION (XNYS:BF.B)</v>
    <v>209416</v>
    <v>1115761</v>
    <v>1933</v>
  </rv>
  <rv s="2">
    <v>1327</v>
  </rv>
  <rv s="0">
    <v>https://www.bing.com/financeapi/forcetrigger?t=a1zxa2&amp;q=XNYS%3aPKG&amp;form=skydnc</v>
    <v>Learn more on Bing</v>
  </rv>
  <rv s="1">
    <v>en-US</v>
    <v>a1zxa2</v>
    <v>268435456</v>
    <v>1</v>
    <v>Powered by Refinitiv</v>
    <v>0</v>
    <v>PACKAGING CORPORATION OF AMERICA (XNYS:PKG)</v>
    <v>2</v>
    <v>3</v>
    <v>Finance</v>
    <v>4</v>
    <v>168.5</v>
    <v>110.55500000000001</v>
    <v>0.88100000000000001</v>
    <v>-3.24</v>
    <v>-2.5228E-2</v>
    <v>USD</v>
    <v>Packaging Corporation of America is a producer of containerboard products and uncoated freesheet (UFS) paper in North America. The Company's segments include Packaging, Paper, and Corporate and Other. Its Packaging segment produces a variety of containerboard and corrugated packaging products. The Paper segment manufactures and sells a range of communication-based papers. It operates approximately eight mills and 90 corrugated products plants and related facilities.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In addition, it is also a producer of packaging for meat, fruit and vegetables, and other consumer products.</v>
    <v>15200</v>
    <v>New York Stock Exchange</v>
    <v>XNYS</v>
    <v>XNYS</v>
    <v>1955 W Field Ct, LAKE FOREST, IL, 60045 US</v>
    <v>127.765</v>
    <v>Containers &amp; Packaging</v>
    <v>Stock</v>
    <v>44917.737113714844</v>
    <v>1329</v>
    <v>125.173</v>
    <v>11584391551</v>
    <v>PACKAGING CORPORATION OF AMERICA</v>
    <v>PACKAGING CORPORATION OF AMERICA</v>
    <v>127.47</v>
    <v>11.694800000000001</v>
    <v>128.43</v>
    <v>125.19</v>
    <v>92534480</v>
    <v>PKG</v>
    <v>PACKAGING CORPORATION OF AMERICA (XNYS:PKG)</v>
    <v>226744</v>
    <v>648151</v>
    <v>1999</v>
  </rv>
  <rv s="2">
    <v>1330</v>
  </rv>
  <rv s="0">
    <v>https://www.bing.com/financeapi/forcetrigger?t=a24tfr&amp;q=XNYS%3aUDR&amp;form=skydnc</v>
    <v>Learn more on Bing</v>
  </rv>
  <rv s="1">
    <v>en-US</v>
    <v>a24tfr</v>
    <v>268435456</v>
    <v>1</v>
    <v>Powered by Refinitiv</v>
    <v>0</v>
    <v>UDR, INC. (XNYS:UDR)</v>
    <v>2</v>
    <v>3</v>
    <v>Finance</v>
    <v>4</v>
    <v>61.06</v>
    <v>37.18</v>
    <v>0.71619999999999995</v>
    <v>-0.27010000000000001</v>
    <v>-7.058E-3</v>
    <v>USD</v>
    <v>UDR, Inc. is a self-administered real estate investment trust (REIT). The Company owns, operates, acquires, renovates, develops, redevelops, disposes of, and manages multifamily apartment communities in targeted markets located in the United States. The Company's real estate portfolio consisted of approximately 160 communities located in 21 markets, consisting of 57,904 apartment homes including 1,564 homes under development. The Company operates through two segments: Same-Store Communities and Non-Mature Communities/Other. The Company’s properties are in various locations, such as Orange County, San Francisco, and Los Angeles in California; Seattle, Washington; Richmond, Virginia; Baltimore, Maryland; Orlando and Tampa in Florida; Nashville, Tennessee, and Dallas and Austin in Texas. The Company offers additional features and services, such as smart home package, relocation guarantee program, corporate housing program, penthouse apartments, package lockers, and short-term leasing.</v>
    <v>1219</v>
    <v>New York Stock Exchange</v>
    <v>XNYS</v>
    <v>XNYS</v>
    <v>Suite 200, 1745 Shea Center Drive, HIGHLANDS RANCH, CO, 80129 US</v>
    <v>38.594999999999999</v>
    <v>Residential &amp; Commercial REIT</v>
    <v>Stock</v>
    <v>44917.736998125001</v>
    <v>1332</v>
    <v>37.96</v>
    <v>12458480000</v>
    <v>UDR, INC.</v>
    <v>UDR, INC.</v>
    <v>38.020000000000003</v>
    <v>77.501000000000005</v>
    <v>38.270000000000003</v>
    <v>37.999899999999997</v>
    <v>325541800</v>
    <v>UDR</v>
    <v>UDR, INC. (XNYS:UDR)</v>
    <v>923446</v>
    <v>2381774</v>
    <v>2003</v>
  </rv>
  <rv s="2">
    <v>1333</v>
  </rv>
  <rv s="0">
    <v>https://www.bing.com/financeapi/forcetrigger?t=a1q9c7&amp;q=XNYS%3aCPT&amp;form=skydnc</v>
    <v>Learn more on Bing</v>
  </rv>
  <rv s="7">
    <v>en-US</v>
    <v>a1q9c7</v>
    <v>268435456</v>
    <v>1</v>
    <v>Powered by Refinitiv</v>
    <v>13</v>
    <v>CAMDEN PROPERTY TRUST (XNYS:CPT)</v>
    <v>2</v>
    <v>14</v>
    <v>Finance</v>
    <v>4</v>
    <v>180.37</v>
    <v>107.9</v>
    <v>0.76819999999999999</v>
    <v>-1.56</v>
    <v>-1.4114999999999999E-2</v>
    <v>USD</v>
    <v>Camden Property Trust is a real estate investment trust (REIT). The Company and its subsidiaries are primarily engaged in the ownership, management, development, redevelopment, acquisition, and construction of multifamily apartment communities. It owns interests in and operates approximately 170 multifamily properties consisting of 58,055 apartment homes across the United States. The Company has five properties under construction, which consist of approximately 1,773 apartment homes. In addition, it owns other land holdings for the development of multifamily apartment communities. The Company's properties consist of mid-rise buildings or two- and three-story buildings in a landscaped setting, as well as high-rise buildings, and provide residents with a variety of amenities common to multifamily rental properties. Its properties are located in Arizona, California, Colorado, Florida, Georgia, North Carolina, Washington District of Columbia (DC) Metro and Texas, among others.</v>
    <v>1700</v>
    <v>New York Stock Exchange</v>
    <v>XNYS</v>
    <v>XNYS</v>
    <v>SUITE 2400, 11 GREENWAY PLAZA, HOUSTON, TX, 77046 US</v>
    <v>110.535</v>
    <v>Residential &amp; Commercial REIT</v>
    <v>Stock</v>
    <v>44917.73684090234</v>
    <v>1335</v>
    <v>108.95</v>
    <v>11773480000</v>
    <v>CAMDEN PROPERTY TRUST</v>
    <v>CAMDEN PROPERTY TRUST</v>
    <v>109.64</v>
    <v>14.6145</v>
    <v>110.52</v>
    <v>108.96</v>
    <v>106528000</v>
    <v>CPT</v>
    <v>CAMDEN PROPERTY TRUST (XNYS:CPT)</v>
    <v>195490</v>
    <v>931851</v>
  </rv>
  <rv s="2">
    <v>1336</v>
  </rv>
  <rv s="0">
    <v>https://www.bing.com/financeapi/forcetrigger?t=a1q7jc&amp;q=XNYS%3aCPB&amp;form=skydnc</v>
    <v>Learn more on Bing</v>
  </rv>
  <rv s="1">
    <v>en-US</v>
    <v>a1q7jc</v>
    <v>268435456</v>
    <v>1</v>
    <v>Powered by Refinitiv</v>
    <v>0</v>
    <v>CAMPBELL SOUP COMPANY (XNYS:CPB)</v>
    <v>2</v>
    <v>3</v>
    <v>Finance</v>
    <v>4</v>
    <v>57.64</v>
    <v>41.725000000000001</v>
    <v>0.36770000000000003</v>
    <v>-0.27</v>
    <v>-4.744E-3</v>
    <v>USD</v>
    <v>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v>
    <v>14700</v>
    <v>New York Stock Exchange</v>
    <v>XNYS</v>
    <v>XNYS</v>
    <v>Campbell Pl, CAMDEN, NJ, 08103 US</v>
    <v>56.922499999999999</v>
    <v>Food &amp; Tobacco</v>
    <v>Stock</v>
    <v>44917.73704416641</v>
    <v>1338</v>
    <v>56.634999999999998</v>
    <v>16961844864</v>
    <v>CAMPBELL SOUP COMPANY</v>
    <v>CAMPBELL SOUP COMPANY</v>
    <v>56.86</v>
    <v>21.638999999999999</v>
    <v>56.91</v>
    <v>56.64</v>
    <v>299467600</v>
    <v>CPB</v>
    <v>CAMPBELL SOUP COMPANY (XNYS:CPB)</v>
    <v>499474</v>
    <v>2811855</v>
    <v>1922</v>
  </rv>
  <rv s="2">
    <v>1339</v>
  </rv>
  <rv s="0">
    <v>https://www.bing.com/financeapi/forcetrigger?t=a1pnu2&amp;q=XNAS%3aCHRW&amp;form=skydnc</v>
    <v>Learn more on Bing</v>
  </rv>
  <rv s="1">
    <v>en-US</v>
    <v>a1pnu2</v>
    <v>268435456</v>
    <v>1</v>
    <v>Powered by Refinitiv</v>
    <v>0</v>
    <v>C.H. ROBINSON WORLDWIDE, INC. (XNAS:CHRW)</v>
    <v>2</v>
    <v>3</v>
    <v>Finance</v>
    <v>4</v>
    <v>121.23</v>
    <v>86.57</v>
    <v>0.76739999999999997</v>
    <v>-1.6</v>
    <v>-1.7218999999999998E-2</v>
    <v>USD</v>
    <v>C.H. Robinson Worldwide, Inc. provides freight transportation services and logistics solutions. Its segments include North American Surface Transportation (NAST) and Global Forwarding. The NAST segment provides freight transportation services across North America through a network of offices in the United States, Canada, and Mexico. The primary services provided by NAST are truckload and less than truckload (LTL) transportation services. The Global Forwarding segment provides logistics services through an international network of offices in North America, Asia, Europe, Oceania, and South America and also contracts with independent agents worldwide. The primary services provided by Global Forwarding include ocean freight services, air freight services, and customs brokerage. It also provides sourcing services under the trade name Robinson Fresh. Its sourcing services consist of buying, selling, and/or marketing of fresh fruits, vegetables, and other value-added perishable items.</v>
    <v>17652</v>
    <v>Nasdaq Stock Market</v>
    <v>XNAS</v>
    <v>XNAS</v>
    <v>14701 Charlson Rd, EDEN PRAIRIE, MN, 55347 US</v>
    <v>92.16</v>
    <v>Freight &amp; Logistics Services</v>
    <v>Stock</v>
    <v>44917.737097892968</v>
    <v>1341</v>
    <v>90.73</v>
    <v>10937560000</v>
    <v>C.H. ROBINSON WORLDWIDE, INC.</v>
    <v>C.H. ROBINSON WORLDWIDE, INC.</v>
    <v>92.16</v>
    <v>11.271100000000001</v>
    <v>92.92</v>
    <v>91.32</v>
    <v>117709500</v>
    <v>CHRW</v>
    <v>C.H. ROBINSON WORLDWIDE, INC. (XNAS:CHRW)</v>
    <v>289111</v>
    <v>1376491</v>
    <v>1997</v>
  </rv>
  <rv s="2">
    <v>1342</v>
  </rv>
  <rv s="0">
    <v>https://www.bing.com/financeapi/forcetrigger?t=a245u2&amp;q=XNYS%3aTFX&amp;form=skydnc</v>
    <v>Learn more on Bing</v>
  </rv>
  <rv s="1">
    <v>en-US</v>
    <v>a245u2</v>
    <v>268435456</v>
    <v>1</v>
    <v>Powered by Refinitiv</v>
    <v>0</v>
    <v>TELEFLEX INCORPORATED (XNYS:TFX)</v>
    <v>2</v>
    <v>3</v>
    <v>Finance</v>
    <v>4</v>
    <v>356.72</v>
    <v>182.65</v>
    <v>1.0481</v>
    <v>-3.55</v>
    <v>-1.4331E-2</v>
    <v>USD</v>
    <v>Teleflex Incorporated is a provider of medical technology products. The Company primarily designs, develops, manufactures and supplies single-use medical devices used by hospitals and healthcare providers for common diagnostic and therapeutic procedures in critical care and surgical applications. The Company operates through four segments: Americas, Europe, the Middle East and Africa (EMEA), Asia Pacific (Asia) and Original Equipment Manufacturer and Development Services (OEM). OEM segment designs, manufactures and supplies devices and instruments for other medical device manufacturers. It includes the TFX Medical OEM, TFX OEM, Deknatel and HPC Medical brands, provides custom extrusions, micro-diameter film-cast tubing, diagnostic and interventional catheters, balloons and balloon catheters, film-insulated fine wire, coated mandrel wire, conductors, sheath/dilator introducers, specialized sutures and performance fibers, bioabsorbable sutures, yarns and resins.</v>
    <v>14000</v>
    <v>New York Stock Exchange</v>
    <v>XNYS</v>
    <v>XNYS</v>
    <v>550 E Swedesford Rd Ste 400, WAYNE, PA, 19087-1601 US</v>
    <v>248.48</v>
    <v>Healthcare Equipment &amp; Supplies</v>
    <v>Stock</v>
    <v>44917.737090948438</v>
    <v>1344</v>
    <v>244.14</v>
    <v>11619190000</v>
    <v>TELEFLEX INCORPORATED</v>
    <v>TELEFLEX INCORPORATED</v>
    <v>248.48</v>
    <v>28.454799999999999</v>
    <v>247.71</v>
    <v>244.16</v>
    <v>46906440</v>
    <v>TFX</v>
    <v>TELEFLEX INCORPORATED (XNYS:TFX)</v>
    <v>48583</v>
    <v>444259</v>
    <v>1943</v>
  </rv>
  <rv s="2">
    <v>1345</v>
  </rv>
  <rv s="0">
    <v>https://www.bing.com/financeapi/forcetrigger?t=a1y2bh&amp;q=XNAS%3aMTCH&amp;form=skydnc</v>
    <v>Learn more on Bing</v>
  </rv>
  <rv s="1">
    <v>en-US</v>
    <v>a1y2bh</v>
    <v>268435456</v>
    <v>1</v>
    <v>Powered by Refinitiv</v>
    <v>0</v>
    <v>MATCH GROUP, INC. (XNAS:MTCH)</v>
    <v>2</v>
    <v>3</v>
    <v>Finance</v>
    <v>4</v>
    <v>136.99</v>
    <v>38.86</v>
    <v>0.90029999999999999</v>
    <v>-1.7749999999999999</v>
    <v>-4.3601000000000001E-2</v>
    <v>USD</v>
    <v>Match Group, Inc. provider of dating products through its portfolio companies which are available globally. The Company’s portfolio of brands includes Tinder, Match, Hinge, Meetic, OkCupid, Pairs, PlentyOfFish, OurTime, Azar and Hakuna Live, and other brands which are designed for users' to find a connection. The Company’s Tinder premium features include Tinder Gold, Tinder Platinum, Super Likes, Tinder Explore and the Swipe Night interactive series. Pairs is a dating platform is designed to address social barriers generally associated with the use of dating services in Eastern Asian countries, particularly Japan. Hakuna Live is an interactive, social app that allows for one-to-many live streaming experiences. OurTime is the community of singles over age 50 of any dating service. It offers this service in the United States, Canada, and various European markets. The Company’s products are available in over 40 languages to users all over the world.</v>
    <v>2500</v>
    <v>Nasdaq Stock Market</v>
    <v>XNAS</v>
    <v>XNAS</v>
    <v>8750 NORTH CENTRAL EXPRESSWAY, SUITE 1400, DALLAS, TX, 75231 US</v>
    <v>40.130000000000003</v>
    <v>Software &amp; IT Services</v>
    <v>Stock</v>
    <v>44917.737038957814</v>
    <v>1347</v>
    <v>38.86</v>
    <v>10874783003</v>
    <v>MATCH GROUP, INC.</v>
    <v>MATCH GROUP, INC.</v>
    <v>39.68</v>
    <v>107.6614</v>
    <v>40.71</v>
    <v>38.935000000000002</v>
    <v>279306100</v>
    <v>MTCH</v>
    <v>MATCH GROUP, INC. (XNAS:MTCH)</v>
    <v>1574780</v>
    <v>4566798</v>
    <v>1986</v>
  </rv>
  <rv s="2">
    <v>1348</v>
  </rv>
  <rv s="0">
    <v>https://www.bing.com/financeapi/forcetrigger?t=a21rw7&amp;q=XNYS%3aRCL&amp;form=skydnc</v>
    <v>Learn more on Bing</v>
  </rv>
  <rv s="1">
    <v>en-US</v>
    <v>a21rw7</v>
    <v>268435456</v>
    <v>1</v>
    <v>Powered by Refinitiv</v>
    <v>0</v>
    <v>ROYAL CARIBBEAN CRUISES LTD. (XNYS:RCL)</v>
    <v>2</v>
    <v>3</v>
    <v>Finance</v>
    <v>4</v>
    <v>90.55</v>
    <v>31.09</v>
    <v>2.4220000000000002</v>
    <v>-3.23</v>
    <v>-6.2343000000000003E-2</v>
    <v>USD</v>
    <v>Royal Caribbean Cruises Ltd. is a cruise company that owns and operates three global cruise vacation brands, including Royal Caribbean International, Celebrity Cruises and Silversea Cruises. The Company also own joint venture interest in the TUI Cruises and Hapag-Lloyd Cruises. The Company's brands operate approximately 61 ships in the cruise vacation industry. Royal Caribbean International offers a range of itineraries to the destinations, including Alaska, Asia, Australia, Bahamas, Bermuda, Canada, the Caribbean, Europe, the Panama Canal and New Zealand, with cruise lengths ranging from one to 25 nights. Celebrity Cruises include two approximately Edge-class ships, Celebrity Beyond and Celebrity Ascent. Silversea Cruises operates the Silver Dawn under a finance lease. The Company offers to handle virtually all travel aspects related to guest reservations and transportation, including arranging guest pre and post hotel stay arrangements and air transportation.</v>
    <v>85000</v>
    <v>New York Stock Exchange</v>
    <v>XNYS</v>
    <v>XNYS</v>
    <v>1050 Caribbean Way, MIAMI, FL, 33132 US</v>
    <v>51.49</v>
    <v>Hotels &amp; Entertainment Services</v>
    <v>Stock</v>
    <v>44917.737090068753</v>
    <v>1350</v>
    <v>48.53</v>
    <v>12396741560</v>
    <v>ROYAL CARIBBEAN CRUISES LTD.</v>
    <v>ROYAL CARIBBEAN CRUISES LTD.</v>
    <v>51.11</v>
    <v>0</v>
    <v>51.81</v>
    <v>48.58</v>
    <v>255182000</v>
    <v>RCL</v>
    <v>ROYAL CARIBBEAN CRUISES LTD. (XNYS:RCL)</v>
    <v>1895989</v>
    <v>3511574</v>
    <v>1985</v>
  </rv>
  <rv s="2">
    <v>1351</v>
  </rv>
  <rv s="0">
    <v>https://www.bing.com/financeapi/forcetrigger?t=a1xkhw&amp;q=XNYS%3aMGM&amp;form=skydnc</v>
    <v>Learn more on Bing</v>
  </rv>
  <rv s="1">
    <v>en-US</v>
    <v>a1xkhw</v>
    <v>268435456</v>
    <v>1</v>
    <v>Powered by Refinitiv</v>
    <v>0</v>
    <v>MGM RESORTS INTERNATIONAL (XNYS:MGM)</v>
    <v>2</v>
    <v>3</v>
    <v>Finance</v>
    <v>4</v>
    <v>49</v>
    <v>26.41</v>
    <v>2.0299</v>
    <v>-1.35</v>
    <v>-3.9051000000000002E-2</v>
    <v>USD</v>
    <v>MGM Resorts International is a holding company. The Company, through its subsidiaries, owns and operates integrated casino, hotel, and entertainment resorts across the United States and in Macau. The Company segments include Las Vegas Strip Resorts, Regional Operations and MGM China. Las Vegas Strip Resorts segment consists of Aria, Bellagio, MGM Grand Las Vegas (including The Signature), Mandalay Bay (including Delano and Four Seasons), The Mirage, Luxor, New York-New York (including The Park), Excalibur and Park MGM (including NoMad Las Vegas). Regional Operations segment consists of MGM Grand Detroit in Detroit, Michigan; Beau Rivage in Biloxi, Mississippi; Gold Strike Tunica in Tunica, Mississippi; Borgata in Atlantic City, New Jersey; MGM National Harbor in Prince George’s County, Maryland; MGM Springfield in Springfield, Massachusetts; Empire City in Yonkers, New York, and MGM Northfield Park in Northfield Park, Ohio. MGM China consists of MGM Macau and MGM Cotai.</v>
    <v>42000</v>
    <v>New York Stock Exchange</v>
    <v>XNYS</v>
    <v>XNYS</v>
    <v>3600 LAS VEGAS BLVD S, LAS VEGAS, NV, 89109 US</v>
    <v>34.340000000000003</v>
    <v>Hotels &amp; Entertainment Services</v>
    <v>Stock</v>
    <v>44917.737083506247</v>
    <v>1353</v>
    <v>33.19</v>
    <v>12757154366</v>
    <v>MGM RESORTS INTERNATIONAL</v>
    <v>MGM RESORTS INTERNATIONAL</v>
    <v>34.28</v>
    <v>11.8194</v>
    <v>34.57</v>
    <v>33.22</v>
    <v>384020300</v>
    <v>MGM</v>
    <v>MGM RESORTS INTERNATIONAL (XNYS:MGM)</v>
    <v>1413955</v>
    <v>4239617</v>
    <v>1986</v>
  </rv>
  <rv s="2">
    <v>1354</v>
  </rv>
  <rv s="0">
    <v>https://www.bing.com/financeapi/forcetrigger?t=a1uw77&amp;q=XNAS%3aHSIC&amp;form=skydnc</v>
    <v>Learn more on Bing</v>
  </rv>
  <rv s="1">
    <v>en-US</v>
    <v>a1uw77</v>
    <v>268435456</v>
    <v>1</v>
    <v>Powered by Refinitiv</v>
    <v>0</v>
    <v>HENRY SCHEIN, INC. (XNAS:HSIC)</v>
    <v>2</v>
    <v>3</v>
    <v>Finance</v>
    <v>4</v>
    <v>92.68</v>
    <v>64.75</v>
    <v>0.81699999999999995</v>
    <v>-1.34</v>
    <v>-1.6541E-2</v>
    <v>USD</v>
    <v>Henry Schein, Inc. is a provider of healthcare products and services primarily to office-based dental and medical practitioners. The Company’s segments include Health care distribution and Technology and value-added services. The Health care distribution segment distributes consumable products, laboratory products, equipment repair services, vaccines, surgical products, diagnostic tests, infection-control products and vitamins. Its global dental group serves office-based dental practitioners, dental laboratories, schools and other institutions, medical practitioners and ambulatory surgery centers. The Technology and value-added services segments provides software, technology and other value-added services to health care practitioners. It also offers practice management software systems for dental and medical practitioners. The Company's value-added practice solutions include financial services on a non-recourse basis, e-services, practice technology, network and hardware services.</v>
    <v>21600</v>
    <v>Nasdaq Stock Market</v>
    <v>XNAS</v>
    <v>XNAS</v>
    <v>135 Duryea Rd, MELVILLE, NY, 11747 US</v>
    <v>80.644999999999996</v>
    <v>Healthcare Equipment &amp; Supplies</v>
    <v>Stock</v>
    <v>44917.736998159373</v>
    <v>1356</v>
    <v>79.569999999999993</v>
    <v>10799077292</v>
    <v>HENRY SCHEIN, INC.</v>
    <v>HENRY SCHEIN, INC.</v>
    <v>80.510000000000005</v>
    <v>17.634499999999999</v>
    <v>81.010000000000005</v>
    <v>79.67</v>
    <v>135547600</v>
    <v>HSIC</v>
    <v>HENRY SCHEIN, INC. (XNAS:HSIC)</v>
    <v>217265</v>
    <v>1084396</v>
    <v>1992</v>
  </rv>
  <rv s="2">
    <v>1357</v>
  </rv>
  <rv s="0">
    <v>https://www.bing.com/financeapi/forcetrigger?t=a1wpxm&amp;q=XNYS%3aL&amp;form=skydnc</v>
    <v>Learn more on Bing</v>
  </rv>
  <rv s="1">
    <v>en-US</v>
    <v>a1wpxm</v>
    <v>268435456</v>
    <v>1</v>
    <v>Powered by Refinitiv</v>
    <v>0</v>
    <v>LOEWS CORPORATION (XNYS:L)</v>
    <v>2</v>
    <v>3</v>
    <v>Finance</v>
    <v>4</v>
    <v>68.2</v>
    <v>49.36</v>
    <v>0.84079999999999999</v>
    <v>-0.745</v>
    <v>-1.2975E-2</v>
    <v>USD</v>
    <v>Loews Corporation is a holding company. The Company’s segments consist individual operating subsidiaries, including CNA Financial Corporation (CAN), Boardwalk Pipeline Partners, LP and Loews Hotels Holding Corporation (Loews Hotels) and Corporate segment.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is engaged in the business of transportation and storage of natural gas and natural gas liquids and hydrocarbons. Boardwalk owns and operates natural gas and liquids underground storage facilities.</v>
    <v>10340</v>
    <v>New York Stock Exchange</v>
    <v>XNYS</v>
    <v>XNYS</v>
    <v>667 MADISON AVE, NEW YORK, NY, 10065-8087 US</v>
    <v>57.57</v>
    <v>Insurance</v>
    <v>Stock</v>
    <v>44917.736610844535</v>
    <v>1359</v>
    <v>56.674999999999997</v>
    <v>13456175225</v>
    <v>LOEWS CORPORATION</v>
    <v>LOEWS CORPORATION</v>
    <v>57.5</v>
    <v>14.3888</v>
    <v>57.42</v>
    <v>56.674999999999997</v>
    <v>237427000</v>
    <v>L</v>
    <v>LOEWS CORPORATION (XNYS:L)</v>
    <v>254594</v>
    <v>939823</v>
    <v>1969</v>
  </rv>
  <rv s="2">
    <v>1360</v>
  </rv>
  <rv s="0">
    <v>https://www.bing.com/financeapi/forcetrigger?t=a1uwoc&amp;q=XNAS%3aHST&amp;form=skydnc</v>
    <v>Learn more on Bing</v>
  </rv>
  <rv s="1">
    <v>en-US</v>
    <v>a1uwoc</v>
    <v>268435456</v>
    <v>1</v>
    <v>Powered by Refinitiv</v>
    <v>0</v>
    <v>HOST HOTELS &amp; RESORTS, INC. (XNAS:HST)</v>
    <v>2</v>
    <v>3</v>
    <v>Finance</v>
    <v>4</v>
    <v>21.63</v>
    <v>15.1</v>
    <v>1.2806999999999999</v>
    <v>-0.125</v>
    <v>-7.8720000000000005E-3</v>
    <v>USD</v>
    <v>Host Hotels &amp; Resorts, Inc. operates as a self-managed and self-administered real estate investment trust (REIT). The Company operates through the hotel ownership segment. It operates a lodging REIT. The Company owned properties and conducted operations through Host Hotels &amp; Resorts, L.P. (Host L.P.). The Company owns a portfolio of approximately 78 hotels, of which 73 are in the United States and five properties are located internationally totaling approximately 42,200 rooms. Its hotels are located outside the United States that have over 1,500 rooms. The Company's hotels operate in urban and resort markets either as luxury properties under such brand names as Alila, Andaz, Fairmont, Four Seasons, Grand Hyatt, JW Marriott, Ritz-Carlton, St. Regis, The Luxury Collection and W or as upper upscale properties under such brand names as Embassy Suites, Hilton, Hyatt, Kimpton, Marriott, Marriott Marquis, Autograph Collection, Curio-A Collection by Hilton, Marriott Suites, Pullman and other.</v>
    <v>160</v>
    <v>Nasdaq Stock Market</v>
    <v>XNAS</v>
    <v>XNAS</v>
    <v>4747 Bethesda Avenue, Suite 1300, BETHESDA, MD, 20814 US</v>
    <v>16.149999999999999</v>
    <v>Residential &amp; Commercial REIT</v>
    <v>Stock</v>
    <v>44917.737059224222</v>
    <v>1362</v>
    <v>15.725</v>
    <v>11265262989</v>
    <v>HOST HOTELS &amp; RESORTS, INC.</v>
    <v>HOST HOTELS &amp; RESORTS, INC.</v>
    <v>15.79</v>
    <v>14.1213</v>
    <v>15.88</v>
    <v>15.755000000000001</v>
    <v>715027800</v>
    <v>HST</v>
    <v>HOST HOTELS &amp; RESORTS, INC. (XNAS:HST)</v>
    <v>5404733</v>
    <v>6064781</v>
    <v>1998</v>
  </rv>
  <rv s="2">
    <v>1363</v>
  </rv>
  <rv s="0">
    <v>https://www.bing.com/financeapi/forcetrigger?t=a1yism&amp;q=XNYS%3aNI&amp;form=skydnc</v>
    <v>Learn more on Bing</v>
  </rv>
  <rv s="1">
    <v>en-US</v>
    <v>a1yism</v>
    <v>268435456</v>
    <v>1</v>
    <v>Powered by Refinitiv</v>
    <v>0</v>
    <v>NISOURCE INC. (XNYS:NI)</v>
    <v>2</v>
    <v>3</v>
    <v>Finance</v>
    <v>4</v>
    <v>32.585000000000001</v>
    <v>23.78</v>
    <v>0.45479999999999998</v>
    <v>-0.45</v>
    <v>-1.6334000000000001E-2</v>
    <v>USD</v>
    <v>NiSource Inc. is an energy holding company that operates through Gas Distribution Operations and Electric Operations segments. Gas Distribution operations owns five distribution subsidiaries that provide natural gas to approximately 2.4 million residential, commercial and industrial customers in Ohio, Pennsylvania, Virginia, Kentucky, and Maryland. In addition, the Company distribute natural gas to approximately 853,000 customers in northern Indiana. The Company operates approximately 54,600 miles of distribution main pipeline plus the associated individual customer service lines and approximately 1,000 miles of transmission main pipeline located in its service areas. Electric Operations generates, transmits and distributes electricity to approximately 483,000 customers in 20 counties in the northern part of Indiana and also engaged in wholesale electric and transmission transactions. The Company owns and operates sources of generation as well as source power.</v>
    <v>7272</v>
    <v>New York Stock Exchange</v>
    <v>XNYS</v>
    <v>XNYS</v>
    <v>801 E 86th Ave, MERRILLVILLE, IN, 46410-6272 US</v>
    <v>27.48</v>
    <v>Multiline Utilities</v>
    <v>Stock</v>
    <v>44917.737106388282</v>
    <v>1365</v>
    <v>27.094999999999999</v>
    <v>11006239530</v>
    <v>NISOURCE INC.</v>
    <v>NISOURCE INC.</v>
    <v>27.45</v>
    <v>17.896100000000001</v>
    <v>27.55</v>
    <v>27.1</v>
    <v>406134300</v>
    <v>NI</v>
    <v>NISOURCE INC. (XNYS:NI)</v>
    <v>440257</v>
    <v>4353693</v>
    <v>2000</v>
  </rv>
  <rv s="2">
    <v>1366</v>
  </rv>
  <rv s="0">
    <v>https://www.bing.com/financeapi/forcetrigger?t=a1qbxm&amp;q=XNYS%3aCRL&amp;form=skydnc</v>
    <v>Learn more on Bing</v>
  </rv>
  <rv s="1">
    <v>en-US</v>
    <v>a1qbxm</v>
    <v>268435456</v>
    <v>1</v>
    <v>Powered by Refinitiv</v>
    <v>0</v>
    <v>CHARLES RIVER LABORATORIES INTERNATIONAL, INC. (XNYS:CRL)</v>
    <v>2</v>
    <v>3</v>
    <v>Finance</v>
    <v>4</v>
    <v>379.65</v>
    <v>181.36</v>
    <v>1.2897000000000001</v>
    <v>-6.89</v>
    <v>-3.1274000000000003E-2</v>
    <v>USD</v>
    <v>Charles River Laboratories International, Inc. is a full service, non-clinical contract research company. The Company provides research models required in research and development of new drugs, devices, and therapies. The Company's segments include Research Models and Services (RMS), Discovery and Safety Assessment (DSA), and Manufacturing Solutions (Manufacturing). The RMS segment includes the research models, research model services, and research and GMP-compliant cells businesses. The DSA segment includes services required to take a drug through the early development process, including discovery services, which are non-regulated services to assist clients with the identification, screening, and selection of a lead compound for drug development, and regulated and non-regulated (Good Laboratory Practice (GLP) and non-GLP) safety assessment services. The Manufacturing segment includes Microbial Solutions, Biologics Solutions (Biologics), and Avian Vaccine Services (Avian).</v>
    <v>18600</v>
    <v>New York Stock Exchange</v>
    <v>XNYS</v>
    <v>XNYS</v>
    <v>251 Ballardvale St, WILMINGTON, MA, 01887 US</v>
    <v>218.67500000000001</v>
    <v>Biotechnology &amp; Medical Research</v>
    <v>Stock</v>
    <v>44917.737073760938</v>
    <v>1368</v>
    <v>213.42</v>
    <v>10858523617</v>
    <v>CHARLES RIVER LABORATORIES INTERNATIONAL, INC.</v>
    <v>CHARLES RIVER LABORATORIES INTERNATIONAL, INC.</v>
    <v>218.31</v>
    <v>25.947700000000001</v>
    <v>220.31</v>
    <v>213.42</v>
    <v>50878660</v>
    <v>CRL</v>
    <v>CHARLES RIVER LABORATORIES INTERNATIONAL, INC. (XNYS:CRL)</v>
    <v>155377</v>
    <v>721467</v>
    <v>1994</v>
  </rv>
  <rv s="2">
    <v>1369</v>
  </rv>
  <rv s="0">
    <v>https://www.bing.com/financeapi/forcetrigger?t=a24bpr&amp;q=XNYS%3aGL&amp;form=skydnc</v>
    <v>Learn more on Bing</v>
  </rv>
  <rv s="1">
    <v>en-US</v>
    <v>a24bpr</v>
    <v>268435456</v>
    <v>1</v>
    <v>Powered by Refinitiv</v>
    <v>0</v>
    <v>GLOBE LIFE INC. (XNYS:GL)</v>
    <v>2</v>
    <v>3</v>
    <v>Finance</v>
    <v>4</v>
    <v>122.12</v>
    <v>87.87</v>
    <v>0.82340000000000002</v>
    <v>-2.36</v>
    <v>-1.9587E-2</v>
    <v>USD</v>
    <v>Globe Life Inc. is an insurance holding company. The Company, through its subsidiaries, provides a range of life and supplemental health insurance products and annuities. The Company’s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v>
    <v>3222</v>
    <v>New York Stock Exchange</v>
    <v>XNYS</v>
    <v>XNYS</v>
    <v>3700 S Stonebridge Dr, MCKINNEY, TX, 75070-5934 US</v>
    <v>120.17749999999999</v>
    <v>Insurance</v>
    <v>Stock</v>
    <v>44917.736266909378</v>
    <v>1371</v>
    <v>118.01</v>
    <v>11490532269</v>
    <v>GLOBE LIFE INC.</v>
    <v>GLOBE LIFE INC.</v>
    <v>120.07</v>
    <v>16.999099999999999</v>
    <v>120.49</v>
    <v>118.13</v>
    <v>97270230</v>
    <v>GL</v>
    <v>GLOBE LIFE INC. (XNYS:GL)</v>
    <v>116676</v>
    <v>676163</v>
    <v>1979</v>
  </rv>
  <rv s="2">
    <v>1372</v>
  </rv>
  <rv s="0">
    <v>https://www.bing.com/financeapi/forcetrigger?t=a23tw7&amp;q=XNYS%3aSWK&amp;form=skydnc</v>
    <v>Learn more on Bing</v>
  </rv>
  <rv s="1">
    <v>en-US</v>
    <v>a23tw7</v>
    <v>268435456</v>
    <v>1</v>
    <v>Powered by Refinitiv</v>
    <v>0</v>
    <v>STANLEY BLACK &amp; DECKER, INC. (XNYS:SWK)</v>
    <v>2</v>
    <v>3</v>
    <v>Finance</v>
    <v>4</v>
    <v>196.52</v>
    <v>70.239999999999995</v>
    <v>1.2586999999999999</v>
    <v>-1.6950000000000001</v>
    <v>-2.3134000000000002E-2</v>
    <v>USD</v>
    <v>Stanley Black &amp; Decker, Inc. is a diversified global provider of hand tools, power tools, outdoor products and related accessories, engineered fastening systems and products, services and equipment for oil and gas and infrastructure applications, and automatic doors. The Company’s segments include Tools and Outdoor, and Industrial. The Tools and Outdoor segment are comprised of the power tools group, hand tools, accessories and storage, and outdoor power equipment businesses. Its Tools and Storage segment has its trademarks, including STANLEY, BLACK+DECKER, DEWALT, FLEXVOLT and IRWIN. The Industrial segment is comprised of the engineered fastening and infrastructure businesses. The engineered fastening business primarily sells engineered components, such as fasteners, fittings and various engineered products. The infrastructure business consists of attachment tools and oil and gas product lines. The Industrial segment has its trademarks, including CRC, NELSON, LaBounty and Dubuis.</v>
    <v>71300</v>
    <v>New York Stock Exchange</v>
    <v>XNYS</v>
    <v>XNYS</v>
    <v>1000 Stanley Dr, PO Box 7000, NEW BRITAIN, CT, 06053-1675 US</v>
    <v>72.92</v>
    <v>Machinery, Equipment &amp; Components</v>
    <v>Stock</v>
    <v>44917.737105150001</v>
    <v>1374</v>
    <v>71.56</v>
    <v>10839690000</v>
    <v>STANLEY BLACK &amp; DECKER, INC.</v>
    <v>STANLEY BLACK &amp; DECKER, INC.</v>
    <v>72.569999999999993</v>
    <v>21.192299999999999</v>
    <v>73.27</v>
    <v>71.575000000000003</v>
    <v>147941800</v>
    <v>SWK</v>
    <v>STANLEY BLACK &amp; DECKER, INC. (XNYS:SWK)</v>
    <v>689352</v>
    <v>1704312</v>
    <v>1901</v>
  </rv>
  <rv s="2">
    <v>1375</v>
  </rv>
  <rv s="0">
    <v>https://www.bing.com/financeapi/forcetrigger?t=a1xam7&amp;q=XNYS%3aMAS&amp;form=skydnc</v>
    <v>Learn more on Bing</v>
  </rv>
  <rv s="1">
    <v>en-US</v>
    <v>a1xam7</v>
    <v>268435456</v>
    <v>1</v>
    <v>Powered by Refinitiv</v>
    <v>0</v>
    <v>MASCO CORPORATION (XNYS:MAS)</v>
    <v>2</v>
    <v>3</v>
    <v>Finance</v>
    <v>4</v>
    <v>71.055000000000007</v>
    <v>42.33</v>
    <v>1.1726000000000001</v>
    <v>-1.135</v>
    <v>-2.4087000000000001E-2</v>
    <v>USD</v>
    <v>Masco Corporation is a designer, manufacturer and distributor of home improvement and building products. The Company’s segments include Plumbing Products and Decorative Architectural Products. Plumbing products include faucets, showerheads, handheld showers, valves, bath hardware and accessories, bathing units, shower bases and enclosures, shower drains, steam shower systems, sinks, kitchen accessories and toilets. Its faucet, bathing and showering products are sold primarily in North America, Europe and China under the brand names DELTA, BRIZO, PEERLESS, HANSGROHE, AXOR, KRAUS, EASY DRAIN, STEAMIST, NEWPORT BRASS, BRASSTECH and WALTEC. Decorative Architectural Products segment primarily includes architectural coatings, including paints, primers, specialty coatings, stains and waterproofing products. Its products are sold in North America, South America and China under the brand names BEHR, KILZ, WHIZZ, Elder &amp; Jenks and other trademarks to do it yourself and professional customers.</v>
    <v>20000</v>
    <v>New York Stock Exchange</v>
    <v>XNYS</v>
    <v>XNYS</v>
    <v>17450 College Parkway, LIVONIA, MI, 48152 US</v>
    <v>47.07</v>
    <v>Homebuilding &amp; Construction Supplies</v>
    <v>Stock</v>
    <v>44917.737105115622</v>
    <v>1377</v>
    <v>45.875</v>
    <v>10370955663</v>
    <v>MASCO CORPORATION</v>
    <v>MASCO CORPORATION</v>
    <v>46.67</v>
    <v>12.9198</v>
    <v>47.12</v>
    <v>45.984999999999999</v>
    <v>225529100</v>
    <v>MAS</v>
    <v>MASCO CORPORATION (XNYS:MAS)</v>
    <v>390184</v>
    <v>1699804</v>
    <v>1962</v>
  </rv>
  <rv s="2">
    <v>1378</v>
  </rv>
  <rv s="0">
    <v>https://www.bing.com/financeapi/forcetrigger?t=a1zutc&amp;q=XNYS%3aPHM&amp;form=skydnc</v>
    <v>Learn more on Bing</v>
  </rv>
  <rv s="1">
    <v>en-US</v>
    <v>a1zutc</v>
    <v>268435456</v>
    <v>1</v>
    <v>Powered by Refinitiv</v>
    <v>0</v>
    <v>PULTEGROUP, INC. (XNYS:PHM)</v>
    <v>2</v>
    <v>3</v>
    <v>Finance</v>
    <v>4</v>
    <v>58.09</v>
    <v>35.032400000000003</v>
    <v>1.2565</v>
    <v>-0.76</v>
    <v>-1.6608000000000001E-2</v>
    <v>USD</v>
    <v>PulteGroup, Inc. is a homebuilder in the United States. The Company, through its brands, which include Centex, Pulte Homes, Del Webb, DiVosta Homes, John Wieland Homes and Neighborhoods, and American West, it offers a variety of home designs. Its Homebuilding segment operations represent its core business, which is engaged in the acquisition and development of land primarily for residential purposes within the United States and the construction of housing on such land. Homebuilding offers various product lines to meet the needs of homebuyers in its targeted markets. Its Homebuilding operations are aggregated into six segments: Northeast, Southeast, Florida, Midwest, Texas and West. Its Financial Services segment consists of mortgage banking, title, and insurance brokerage operations. The Financial Services segment operates generally in the same markets as the Homebuilding segments. The Company's subsidiaries engage primarily in the homebuilding business.</v>
    <v>6182</v>
    <v>New York Stock Exchange</v>
    <v>XNYS</v>
    <v>XNYS</v>
    <v>3350 Peachtree Road Northeast, Suite 150, ATLANTA, GA, 30326 US</v>
    <v>45.5</v>
    <v>Homebuilding &amp; Construction Supplies</v>
    <v>Stock</v>
    <v>44917.737105508597</v>
    <v>1380</v>
    <v>44.91</v>
    <v>10251886500</v>
    <v>PULTEGROUP, INC.</v>
    <v>PULTEGROUP, INC.</v>
    <v>45.18</v>
    <v>4.6197999999999997</v>
    <v>45.76</v>
    <v>45</v>
    <v>227819700</v>
    <v>PHM</v>
    <v>PULTEGROUP, INC. (XNYS:PHM)</v>
    <v>415550</v>
    <v>2159618</v>
    <v>1987</v>
  </rv>
  <rv s="2">
    <v>1381</v>
  </rv>
  <rv s="0">
    <v>https://www.bing.com/financeapi/forcetrigger?t=a1xonm&amp;q=XNAS%3aMKTX&amp;form=skydnc</v>
    <v>Learn more on Bing</v>
  </rv>
  <rv s="1">
    <v>en-US</v>
    <v>a1xonm</v>
    <v>268435456</v>
    <v>1</v>
    <v>Powered by Refinitiv</v>
    <v>0</v>
    <v>MARKETAXESS HOLDINGS INC. (XNAS:MKTX)</v>
    <v>2</v>
    <v>3</v>
    <v>Finance</v>
    <v>4</v>
    <v>420.19</v>
    <v>217.44</v>
    <v>0.64680000000000004</v>
    <v>-2.46</v>
    <v>-8.8500000000000002E-3</v>
    <v>USD</v>
    <v>MarketAxess Holdings Inc. is engaged in operating electronic platforms for the trading of fixed-income securities and provide related data, analytics, compliance tools and post-trade services. It provides Open Trading marketplace, which offers all-to-all trading solutions in the global credit markets, creating a liquidity pool for a range of credit market participants. It is involved in drawing on a diverse set of trading protocols, including request-for-quote, live order books, sessions-based trading, and portfolio trading solutions, as well as its data and analytical resources. It provides integrated and actionable data offerings, including Composite+ and Axess All real time pricing to assist clients with trading decisions and transaction cost analysis. The Company offers a range of post-trade services, including straight-through processing, trade matching, trade publication, regulatory transaction reporting, and market and reference data across fixed-income and other products.</v>
    <v>676</v>
    <v>Nasdaq Stock Market</v>
    <v>XNAS</v>
    <v>XNAS</v>
    <v>55 Hudson Yards, 15Th Floor, NEW YORK, NY, 10001 US</v>
    <v>280.45</v>
    <v>Investment Banking &amp; Investment Services</v>
    <v>Stock</v>
    <v>44917.736801527346</v>
    <v>1383</v>
    <v>274.81</v>
    <v>10369696646</v>
    <v>MARKETAXESS HOLDINGS INC.</v>
    <v>MARKETAXESS HOLDINGS INC.</v>
    <v>274.81</v>
    <v>43.150100000000002</v>
    <v>277.98</v>
    <v>275.52</v>
    <v>37636820</v>
    <v>MKTX</v>
    <v>MARKETAXESS HOLDINGS INC. (XNAS:MKTX)</v>
    <v>123878</v>
    <v>333125</v>
    <v>2000</v>
  </rv>
  <rv s="2">
    <v>1384</v>
  </rv>
  <rv s="0">
    <v>https://www.bing.com/financeapi/forcetrigger?t=a1pffr&amp;q=XNYS%3aCE&amp;form=skydnc</v>
    <v>Learn more on Bing</v>
  </rv>
  <rv s="1">
    <v>en-US</v>
    <v>a1pffr</v>
    <v>268435456</v>
    <v>1</v>
    <v>Powered by Refinitiv</v>
    <v>0</v>
    <v>CELANESE CORPORATION (XNYS:CE)</v>
    <v>2</v>
    <v>3</v>
    <v>Finance</v>
    <v>4</v>
    <v>176.5</v>
    <v>86.704999999999998</v>
    <v>1.2499</v>
    <v>-3.26</v>
    <v>-3.1634999999999996E-2</v>
    <v>USD</v>
    <v>Celanese Corporation is a global chemical and specialty materials company. The Company is a producer of engineered polymers that are used in a variety of applications. The Company’s segments include Engineered Materials, Acetate Tow and Acetyl Chain. The Engineered Materials segment develops, produces and supplies a range of specialty polymers for automotive and medical applications, as well as industrial products and consumer electronics. The Acetate Tow segment is a global producer and supplier of acetate tow and acetate flake, primarily used in filter products applications. The Acetyl Chain segment includes the integrated chain of intermediate chemistry, emulsion polymers, ethylene vinyl acetate (EVA) polymers and redispersible powders (RDP) businesses. The Company is also engaged in the Mobility and Materials (M&amp;M) business. Its products include polyoxymethylene, ultra-high molecular weight polyethylene, polybutylene terephthalate and long-fiber reinforced thermoplastics.</v>
    <v>8529</v>
    <v>New York Stock Exchange</v>
    <v>XNYS</v>
    <v>XNYS</v>
    <v>222 Las Colinas Blvd W Ste 900N, IRVING, TX, 75039-5467 US</v>
    <v>102.295</v>
    <v>Chemicals</v>
    <v>Stock</v>
    <v>44917.73702887656</v>
    <v>1386</v>
    <v>99.79</v>
    <v>11173510000</v>
    <v>CELANESE CORPORATION</v>
    <v>CELANESE CORPORATION</v>
    <v>101.32</v>
    <v>6.7831000000000001</v>
    <v>103.05</v>
    <v>99.79</v>
    <v>108428100</v>
    <v>CE</v>
    <v>CELANESE CORPORATION (XNYS:CE)</v>
    <v>336123</v>
    <v>1025134</v>
    <v>2004</v>
  </rv>
  <rv s="2">
    <v>1387</v>
  </rv>
  <rv s="0">
    <v>https://www.bing.com/financeapi/forcetrigger?t=a1w8mw&amp;q=XNYS%3aJNPR&amp;form=skydnc</v>
    <v>Learn more on Bing</v>
  </rv>
  <rv s="1">
    <v>en-US</v>
    <v>a1w8mw</v>
    <v>268435456</v>
    <v>1</v>
    <v>Powered by Refinitiv</v>
    <v>0</v>
    <v>JUNIPER NETWORKS, INC. (XNYS:JNPR)</v>
    <v>2</v>
    <v>3</v>
    <v>Finance</v>
    <v>4</v>
    <v>38.14</v>
    <v>25.18</v>
    <v>0.91659999999999997</v>
    <v>-0.67</v>
    <v>-2.1101999999999999E-2</v>
    <v>USD</v>
    <v>Juniper Networks, Inc. is engaged in artificial intelligence (AI) networking, cloud, and connected security solutions. The Company designs, develops, and sells products and services for high-performance networks to enable customers to build networks for their businesses. It sells high-performance networking product offerings with various customer solution categories, such as AI-Driven Enterprise, Automated WAN Solutions, and Cloud-Ready Data Center, and its connected security products are sold in each category. Its AI-Driven Enterprise encompasses a client-to-cloud portfolio, cloud-delivered campus-wired and wireless solutions of Mist and EX switches, and its SD-WAN portfolio, which includes about 128 Technology and Branch SRX solutions. Its Automated WAN Solutions includes MX and PTX product lines, and ACX product line targeting the Metro market. Its Cloud-Ready Data Center includes QFX product line, Apstra, and Contrail product lines, along with its security portfolio of SRX.</v>
    <v>10191</v>
    <v>New York Stock Exchange</v>
    <v>XNYS</v>
    <v>XNYS</v>
    <v>1133 Innovation Way, SUNNYVALE, CA, 94089 US</v>
    <v>31.51</v>
    <v>Communications &amp; Networking</v>
    <v>Stock</v>
    <v>44917.737113680472</v>
    <v>1389</v>
    <v>31.07</v>
    <v>10087184940</v>
    <v>JUNIPER NETWORKS, INC.</v>
    <v>JUNIPER NETWORKS, INC.</v>
    <v>31.45</v>
    <v>24.740300000000001</v>
    <v>31.75</v>
    <v>31.08</v>
    <v>324555500</v>
    <v>JNPR</v>
    <v>JUNIPER NETWORKS, INC. (XNYS:JNPR)</v>
    <v>483905</v>
    <v>3446446</v>
    <v>1997</v>
  </rv>
  <rv s="2">
    <v>1390</v>
  </rv>
  <rv s="0">
    <v>https://www.bing.com/financeapi/forcetrigger?t=a1x8nm&amp;q=XNYS%3aLYV&amp;form=skydnc</v>
    <v>Learn more on Bing</v>
  </rv>
  <rv s="1">
    <v>en-US</v>
    <v>a1x8nm</v>
    <v>268435456</v>
    <v>1</v>
    <v>Powered by Refinitiv</v>
    <v>0</v>
    <v>LIVE NATION ENTERTAINMENT, INC. (XNYS:LYV)</v>
    <v>2</v>
    <v>3</v>
    <v>Finance</v>
    <v>4</v>
    <v>126.79</v>
    <v>65.05</v>
    <v>1.2601</v>
    <v>-1.4032</v>
    <v>-1.9852999999999999E-2</v>
    <v>USD</v>
    <v>Live Nation Entertainment, Inc. is a live entertainment ticketing, sales, and marketing company. The Company’s segments include Concerts, which involves the promotion of live music events globally in its owned or operated venues and in rented third-party venues, the production of music festivals, the operation and management of music venues, the creation of associated content and the provision of management and other services to artists; Ticketing, which involves the management of its global ticketing operations, including providing ticketing software and services to clients, and consumers with a marketplace, both online and mobile, for tickets and event information through its Website, www.ticketmaster.com., and Sponsorship &amp; Advertising, which manages the development of strategic sponsorship programs in addition to the sale of international, national and local sponsorships and placement of advertising such as signage, promotional programs, and rich media offerings.</v>
    <v>10200</v>
    <v>New York Stock Exchange</v>
    <v>XNYS</v>
    <v>XNYS</v>
    <v>9348 Civic Center Dr, BEVERLY HILLS, CA, 90210 US</v>
    <v>70.08</v>
    <v>Media &amp; Publishing</v>
    <v>Stock</v>
    <v>44917.737039710155</v>
    <v>1392</v>
    <v>69.2</v>
    <v>15994620656</v>
    <v>LIVE NATION ENTERTAINMENT, INC.</v>
    <v>LIVE NATION ENTERTAINMENT, INC.</v>
    <v>69.83</v>
    <v>102.9255</v>
    <v>70.680000000000007</v>
    <v>69.276799999999994</v>
    <v>230879900</v>
    <v>LYV</v>
    <v>LIVE NATION ENTERTAINMENT, INC. (XNYS:LYV)</v>
    <v>650053</v>
    <v>2968314</v>
    <v>2005</v>
  </rv>
  <rv s="2">
    <v>1393</v>
  </rv>
  <rv s="0">
    <v>https://www.bing.com/financeapi/forcetrigger?t=a1rxu2&amp;q=XNYS%3aEMN&amp;form=skydnc</v>
    <v>Learn more on Bing</v>
  </rv>
  <rv s="1">
    <v>en-US</v>
    <v>a1rxu2</v>
    <v>268435456</v>
    <v>1</v>
    <v>Powered by Refinitiv</v>
    <v>0</v>
    <v>EASTMAN CHEMICAL COMPANY (XNYS:EMN)</v>
    <v>2</v>
    <v>3</v>
    <v>Finance</v>
    <v>4</v>
    <v>129.47499999999999</v>
    <v>69.91</v>
    <v>1.4881</v>
    <v>-1.81</v>
    <v>-2.2138000000000001E-2</v>
    <v>USD</v>
    <v>Eastman Chemical Company (Eastman) is a global specialty materials company that produces a range of products. Eastman's segments include Additives &amp; Functional Products (AFP), Advanced Materials (AM), Chemical Intermediates (CI) and Fibers. The AFP segment manufactures materials for products in the transportation; personal care and wellness; food, feed, and agriculture; building and construction; water treatment and energy; consumables; and durables and electronics markets. AM segment produces and markets polymers, films, and plastics with differentiated performance properties for value-added end-uses in transportation; durables and electronics; building and construction; medical and pharma; and consumables markets. The CI segment sells and markets industrial chemicals and processing, building and construction, health and wellness, and agrochemicals. The Fibers segment manufactures and sells acetate tow and triacetin plasticizers for use in filtration media.</v>
    <v>14000</v>
    <v>New York Stock Exchange</v>
    <v>XNYS</v>
    <v>XNYS</v>
    <v>200 South Wilcox Drive, Po Box 511, KINGSPORT, TN, 37660 US</v>
    <v>81.105000000000004</v>
    <v>Chemicals</v>
    <v>Stock</v>
    <v>44917.737031828125</v>
    <v>1395</v>
    <v>79.95</v>
    <v>9593232480</v>
    <v>EASTMAN CHEMICAL COMPANY</v>
    <v>EASTMAN CHEMICAL COMPANY</v>
    <v>81.105000000000004</v>
    <v>9.0122</v>
    <v>81.760000000000005</v>
    <v>79.95</v>
    <v>119990400</v>
    <v>EMN</v>
    <v>EASTMAN CHEMICAL COMPANY (XNYS:EMN)</v>
    <v>279923</v>
    <v>901113</v>
    <v>1993</v>
  </rv>
  <rv s="2">
    <v>1396</v>
  </rv>
  <rv s="0">
    <v>https://www.bing.com/financeapi/forcetrigger?t=azqpjc&amp;q=XNYS%3aCDAY&amp;form=skydnc</v>
    <v>Learn more on Bing</v>
  </rv>
  <rv s="1">
    <v>en-US</v>
    <v>azqpjc</v>
    <v>268435456</v>
    <v>1</v>
    <v>Powered by Refinitiv</v>
    <v>0</v>
    <v>CERIDIAN HCM HOLDING INC. (XNYS:CDAY)</v>
    <v>2</v>
    <v>3</v>
    <v>Finance</v>
    <v>4</v>
    <v>106.76</v>
    <v>43.23</v>
    <v>1.4535</v>
    <v>-3.76</v>
    <v>-5.8277000000000002E-2</v>
    <v>USD</v>
    <v>Ceridian HCM Holding Inc. is a human capital management (HCM) software company. It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It offers solutions into two categories: Cloud and Bureau solutions. Its HCM solutions that are delivered via two cloud offerings: Dayforce, its cloud HCM platform, and Powerpay, a cloud HR and payroll solution for the Canadian small business market, through direct sales and established partner channels. Dayforce is a single application that provides continuous real-time calculations across all modules to enable payroll administrators access to data through the entire pay period, and managers access to real-time data to optimize work schedules. Powerpay is a cloud platform that provides payroll and HR solutions.</v>
    <v>7462</v>
    <v>New York Stock Exchange</v>
    <v>XNYS</v>
    <v>XNYS</v>
    <v>3311 E Old Shakopee Rd, MINNEAPOLIS, MN, 55425-1361 US</v>
    <v>63.11</v>
    <v>Software &amp; IT Services</v>
    <v>Stock</v>
    <v>44917.73709336797</v>
    <v>1398</v>
    <v>60.7</v>
    <v>9332426124</v>
    <v>CERIDIAN HCM HOLDING INC.</v>
    <v>CERIDIAN HCM HOLDING INC.</v>
    <v>63.11</v>
    <v>0</v>
    <v>64.52</v>
    <v>60.76</v>
    <v>153594900</v>
    <v>CDAY</v>
    <v>CERIDIAN HCM HOLDING INC. (XNYS:CDAY)</v>
    <v>211829</v>
    <v>1565992</v>
    <v>2013</v>
  </rv>
  <rv s="2">
    <v>1399</v>
  </rv>
  <rv s="0">
    <v>https://www.bing.com/financeapi/forcetrigger?t=a23rjc&amp;q=XNAS%3aSTX&amp;form=skydnc</v>
    <v>Learn more on Bing</v>
  </rv>
  <rv s="1">
    <v>en-US</v>
    <v>a23rjc</v>
    <v>268435456</v>
    <v>1</v>
    <v>Powered by Refinitiv</v>
    <v>0</v>
    <v>SEAGATE TECHNOLOGY HOLDINGS PUBLIC LIMITED COMPANY (XNAS:STX)</v>
    <v>2</v>
    <v>3</v>
    <v>Finance</v>
    <v>4</v>
    <v>117.67</v>
    <v>47.47</v>
    <v>1.1142000000000001</v>
    <v>-1.1399999999999999</v>
    <v>-2.2690999999999999E-2</v>
    <v>USD</v>
    <v>Seagate Technology Holdings plc is a provider of data storage technology and solutions. The Company’s principal products are hard disk drives, including disk drives, hard drives or hard disk drives (HDDs). In addition to HDDs, the Company produces a range of data storage products, including solid state drives (SSDs), solid state hybrid drives (SSHDs), storage subsystems, as well as a scalable edge-to-cloud mass data platform, which includes data transfer shuttles and a storage-as-a-service cloud. The Company’s HDD products are designed for mass capacity storage and legacy markets. Mass capacity storage involves use cases, such as hyperscale data centers and public clouds, as well as emerging use cases. Legacy markets include markets the Company continues to serve. The Company’s HDD and SSD product portfolio includes Serial Advanced Technology Attachment, Serial Attached SCSI and Non-Volatile Memory Express-based designs to support a variety of mass capacity and legacy applications.</v>
    <v>40000</v>
    <v>Nasdaq Stock Market</v>
    <v>XNAS</v>
    <v>XNAS</v>
    <v>38/39 Fitzwilliam Square, Dublin 2, DUBLIN, DUBLIN, D02 NX53 IE</v>
    <v>49.86</v>
    <v>Computers, Phones &amp; Household Electronics</v>
    <v>Stock</v>
    <v>44917.737090555471</v>
    <v>1401</v>
    <v>48.94</v>
    <v>10136911040</v>
    <v>SEAGATE TECHNOLOGY HOLDINGS PUBLIC LIMITED COMPANY</v>
    <v>SEAGATE TECHNOLOGY HOLDINGS PUBLIC LIMITED COMPANY</v>
    <v>49.27</v>
    <v>9.6813000000000002</v>
    <v>50.24</v>
    <v>49.1</v>
    <v>206454400</v>
    <v>STX</v>
    <v>SEAGATE TECHNOLOGY HOLDINGS PUBLIC LIMITED COMPANY (XNAS:STX)</v>
    <v>926916</v>
    <v>2337155</v>
    <v>2021</v>
  </rv>
  <rv s="2">
    <v>1402</v>
  </rv>
  <rv s="0">
    <v>https://www.bing.com/financeapi/forcetrigger?t=a1p18m&amp;q=XNYS%3aBWA&amp;form=skydnc</v>
    <v>Learn more on Bing</v>
  </rv>
  <rv s="1">
    <v>en-US</v>
    <v>a1p18m</v>
    <v>268435456</v>
    <v>1</v>
    <v>Powered by Refinitiv</v>
    <v>0</v>
    <v>BORGWARNER INC. (XNYS:BWA)</v>
    <v>2</v>
    <v>3</v>
    <v>Finance</v>
    <v>4</v>
    <v>50.09</v>
    <v>31.14</v>
    <v>1.4280999999999999</v>
    <v>-2.02</v>
    <v>-4.9267999999999999E-2</v>
    <v>USD</v>
    <v>BorgWarner Inc. is a provider of technology solutions for combustion, hybrid and electric vehicles. The Company's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various solutions covering the fuel injection, electronics and engine management, maintenance and test equipment and vehicle diagnostics categories. The Company also offers engineering and product development services for various products through Drivetek AG.</v>
    <v>49300</v>
    <v>New York Stock Exchange</v>
    <v>XNYS</v>
    <v>XNYS</v>
    <v>3850 Hamlin Rd, AUBURN HILLS, MI, 48326 US</v>
    <v>40.51</v>
    <v>Automobiles &amp; Auto Parts</v>
    <v>Stock</v>
    <v>44917.736968043748</v>
    <v>1404</v>
    <v>38.979999999999997</v>
    <v>9127319022</v>
    <v>BORGWARNER INC.</v>
    <v>BORGWARNER INC.</v>
    <v>40.4</v>
    <v>11.917199999999999</v>
    <v>41</v>
    <v>38.979999999999997</v>
    <v>234153900</v>
    <v>BWA</v>
    <v>BORGWARNER INC. (XNYS:BWA)</v>
    <v>589129</v>
    <v>1901331</v>
    <v>1987</v>
  </rv>
  <rv s="2">
    <v>1405</v>
  </rv>
  <rv s="0">
    <v>http://en.wikipedia.org/wiki/Western_Digital</v>
    <v>Wikipedia</v>
  </rv>
  <rv s="3">
    <v>3</v>
    <v>1407</v>
  </rv>
  <rv s="4">
    <v>9</v>
    <v>https://www.bing.com/th?id=AMMS_b9efb984265253a027f300c3dcbbcbc0&amp;qlt=95</v>
    <v>1408</v>
    <v>0</v>
    <v>https://www.bing.com/images/search?form=xlimg&amp;q=western+digital</v>
    <v>Image of WESTERN DIGITAL CORPORATION</v>
  </rv>
  <rv s="0">
    <v>https://www.bing.com/financeapi/forcetrigger?t=a25rnm&amp;q=XNAS%3aWDC&amp;form=skydnc</v>
    <v>Learn more on Bing</v>
  </rv>
  <rv s="5">
    <v>en-US</v>
    <v>a25rnm</v>
    <v>268435456</v>
    <v>1</v>
    <v>Powered by Refinitiv</v>
    <v>5</v>
    <v>WESTERN DIGITAL CORPORATION (XNAS:WDC)</v>
    <v>7</v>
    <v>8</v>
    <v>Finance</v>
    <v>4</v>
    <v>69.36</v>
    <v>29.76</v>
    <v>1.5653999999999999</v>
    <v>-1.595</v>
    <v>-5.0829000000000006E-2</v>
    <v>USD</v>
    <v>Western Digital Corporation (Western Digital) is a developer, manufacturer, and provider of data storage devices based on both flash-based products (Flash) and hard disk drives (HDD) technologies. The Company sells data storage devices and solutions in the United States and in foreign countries through its sales personnel, dealers, distributors, retailers, and subsidiaries. It has two operating segments: flash-based products and hard disk drives. Flash products provide non-volatile data storage based on flash technology. It develops and manufactures solid state storage products for a variety of applications, including enterprise or cloud storage, client storage, automotive, mobile devices and removable memory devices. HDD products provide non-volatile data storage by recording magnetic information on a rotating disk. It develops and manufactures various recording heads and magnetic media used in its HDD products.</v>
    <v>65000</v>
    <v>Nasdaq Stock Market</v>
    <v>XNAS</v>
    <v>XNAS</v>
    <v>5601 Great Oaks Parkway, SAN JOSE, CA, 95119 US</v>
    <v>30.68</v>
    <v>1409</v>
    <v>Computers, Phones &amp; Household Electronics</v>
    <v>Stock</v>
    <v>44917.737088217189</v>
    <v>1410</v>
    <v>29.76</v>
    <v>9461214185</v>
    <v>WESTERN DIGITAL CORPORATION</v>
    <v>WESTERN DIGITAL CORPORATION</v>
    <v>30.63</v>
    <v>10.795500000000001</v>
    <v>31.38</v>
    <v>29.785</v>
    <v>317650300</v>
    <v>WDC</v>
    <v>WESTERN DIGITAL CORPORATION (XNAS:WDC)</v>
    <v>2674477</v>
    <v>4890202</v>
    <v>2000</v>
  </rv>
  <rv s="2">
    <v>1411</v>
  </rv>
  <rv s="0">
    <v>https://www.bing.com/financeapi/forcetrigger?t=a23xz2&amp;q=XNYS%3aTAP&amp;form=skydnc</v>
    <v>Learn more on Bing</v>
  </rv>
  <rv s="1">
    <v>en-US</v>
    <v>a23xz2</v>
    <v>268435456</v>
    <v>1</v>
    <v>Powered by Refinitiv</v>
    <v>0</v>
    <v>MOLSON COORS BEVERAGE COMPANY (XNYS:TAP)</v>
    <v>2</v>
    <v>3</v>
    <v>Finance</v>
    <v>4</v>
    <v>60.12</v>
    <v>44.54</v>
    <v>0.88390000000000002</v>
    <v>-0.43</v>
    <v>-8.3579999999999991E-3</v>
    <v>USD</v>
    <v>Molson Coors Beverage Company is a holding company. It is engaged in brewing beverages. The Company operates through two segments: Americas and EMEA&amp;APAC. The Americas segment consists of the production, marketing, and sales of its brands and other owned and licensed brands in the United States, Canada, and various countries in Latin and South America. It also has contract brewing agreements to brew, package and ship products. The EMEA&amp;APAC segment consists of the production, marketing, and sales of its brands as well as several smaller regional brands in the United Kingdom, Central Europe, and various other European countries, along with certain countries within the Middle East, Africa, and the Asia Pacific. It also has licensing agreements and distribution agreements with various other brewers. The Company's brands include Blue Moon, Carling, Coors Banquet, Coors Light, Miller Lite, Leinenkugel’s Summer Shandy, Creemore Springs, Hop Valley and more.</v>
    <v>16300</v>
    <v>New York Stock Exchange</v>
    <v>XNYS</v>
    <v>XNYS</v>
    <v>P.O. BOX 4030, NH353, GOLDEN, CO, 80401 US</v>
    <v>51.57</v>
    <v>Beverages</v>
    <v>Stock</v>
    <v>44917.737030693752</v>
    <v>1413</v>
    <v>51.01</v>
    <v>10510660000</v>
    <v>MOLSON COORS BEVERAGE COMPANY</v>
    <v>MOLSON COORS BEVERAGE COMPANY</v>
    <v>51.27</v>
    <v>22.594100000000001</v>
    <v>51.45</v>
    <v>51.02</v>
    <v>202745000</v>
    <v>TAP</v>
    <v>MOLSON COORS BEVERAGE COMPANY (XNYS:TAP)</v>
    <v>222215</v>
    <v>1142332</v>
    <v>2003</v>
  </rv>
  <rv s="2">
    <v>1414</v>
  </rv>
  <rv s="0">
    <v>https://www.bing.com/financeapi/forcetrigger?t=a21mzr&amp;q=XNAS%3aQRVO&amp;form=skydnc</v>
    <v>Learn more on Bing</v>
  </rv>
  <rv s="1">
    <v>en-US</v>
    <v>a21mzr</v>
    <v>268435456</v>
    <v>1</v>
    <v>Powered by Refinitiv</v>
    <v>0</v>
    <v>QORVO, INC. (XNAS:QRVO)</v>
    <v>2</v>
    <v>3</v>
    <v>Finance</v>
    <v>4</v>
    <v>163.12</v>
    <v>75.38</v>
    <v>1.3811</v>
    <v>-4.8150000000000004</v>
    <v>-5.1680000000000004E-2</v>
    <v>USD</v>
    <v>Qorvo, Inc. is engaged in the development and commercialization of technologies and products for the wireless, wired and power markets. The Company operates through two segments: Mobile Products (MP) and Infrastructure and Defense Products (IDP). MP is a supplier of cellular, ultra-wideband 802.15.4z (UWB), and wireless fidelity (Wi-Fi) solutions for a variety of applications, including smartphones, wearables, laptops, tablets, and the Internet of Things (IoT). IDP is a supplier of radio frequency (RF), system-on-a-chip (SoC), and power management solutions for applications in wireless infrastructure, defense, Wi-Fi, smart home, automotive, and IoT. Its MP segment supplies RF solutions to global consumer product companies. The IDP segment supplies a diverse portfolio of products with generally longer life cycles to a range of customers. It operates design, sales, and manufacturing facilities located throughout Asia, Europe and North America.</v>
    <v>8900</v>
    <v>Nasdaq Stock Market</v>
    <v>XNAS</v>
    <v>XNAS</v>
    <v>7628 Thorndike Rd, GREENSBORO, NC, 27409 US</v>
    <v>91.17</v>
    <v>Semiconductors &amp; Semiconductor Equipment</v>
    <v>Stock</v>
    <v>44917.737097638281</v>
    <v>1416</v>
    <v>88.21</v>
    <v>8958269272</v>
    <v>QORVO, INC.</v>
    <v>QORVO, INC.</v>
    <v>91.15</v>
    <v>14.6289</v>
    <v>93.17</v>
    <v>88.355000000000004</v>
    <v>101389500</v>
    <v>QRVO</v>
    <v>QORVO, INC. (XNAS:QRVO)</v>
    <v>318887</v>
    <v>1231790</v>
    <v>2013</v>
  </rv>
  <rv s="2">
    <v>1417</v>
  </rv>
  <rv s="0">
    <v>https://www.bing.com/financeapi/forcetrigger?t=a1wksm&amp;q=XNYS%3aKMX&amp;form=skydnc</v>
    <v>Learn more on Bing</v>
  </rv>
  <rv s="1">
    <v>en-US</v>
    <v>a1wksm</v>
    <v>268435456</v>
    <v>1</v>
    <v>Powered by Refinitiv</v>
    <v>0</v>
    <v>CARMAX, INC. (XNYS:KMX)</v>
    <v>2</v>
    <v>3</v>
    <v>Finance</v>
    <v>4</v>
    <v>139.80000000000001</v>
    <v>52.1</v>
    <v>1.4539</v>
    <v>-3.97</v>
    <v>-6.6868999999999998E-2</v>
    <v>USD</v>
    <v>CarMax, Inc. (CarMax) is a retailer of used vehicles. The Company operate in two reportable segments: CarMax Sales Operations and CarMax Auto Finance (CAF). Its CarMax Sales Operations segment consists auto merchandising and service operations, excluding financing provided by CAF. Its CAF segment consists solely of its own finance operation that provides financing to customers buying retail vehicles. CarMax Sales Operations segment sells used vehicles, purchases used vehicles from customers and other sources, sells related products and services, and arranges financing options for customers. Its omni-channel platform provides multiple ways for to interact. The Company provides range of other related products and services, including extended protection plan (EPP) products and vehicle repair service. EPP products include extended service plans and guaranteed asset protection that covers unpaid balance on an auto loan in the event of a total loss of the vehicle or unrecovered theft.</v>
    <v>32647</v>
    <v>New York Stock Exchange</v>
    <v>XNYS</v>
    <v>XNYS</v>
    <v>12800 Tuckahoe Creek Pkwy, RICHMOND, VA, 23238 US</v>
    <v>55.76</v>
    <v>Specialty Retailers</v>
    <v>Stock</v>
    <v>44917.737102696097</v>
    <v>1419</v>
    <v>52.1</v>
    <v>8754058700</v>
    <v>CARMAX, INC.</v>
    <v>CARMAX, INC.</v>
    <v>52.13</v>
    <v>11.9831</v>
    <v>59.37</v>
    <v>55.4</v>
    <v>158015500</v>
    <v>KMX</v>
    <v>CARMAX, INC. (XNYS:KMX)</v>
    <v>10227922</v>
    <v>2218797</v>
    <v>1996</v>
  </rv>
  <rv s="2">
    <v>1420</v>
  </rv>
  <rv s="0">
    <v>https://www.bing.com/financeapi/forcetrigger?t=a1s5xm&amp;q=XNAS%3aCZR&amp;form=skydnc</v>
    <v>Learn more on Bing</v>
  </rv>
  <rv s="1">
    <v>en-US</v>
    <v>a1s5xm</v>
    <v>268435456</v>
    <v>1</v>
    <v>Powered by Refinitiv</v>
    <v>0</v>
    <v>CAESARS ENTERTAINMENT, INC. (XNAS:CZR)</v>
    <v>2</v>
    <v>3</v>
    <v>Finance</v>
    <v>4</v>
    <v>97.39</v>
    <v>31.31</v>
    <v>2.8081999999999998</v>
    <v>-3.75</v>
    <v>-8.3499999999999991E-2</v>
    <v>USD</v>
    <v>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v>
    <v>49000</v>
    <v>Nasdaq Stock Market</v>
    <v>XNAS</v>
    <v>XNAS</v>
    <v>100 West Liberty Street, 12Th Floor, RENO, NV, 89501 US</v>
    <v>44.43</v>
    <v>Hotels &amp; Entertainment Services</v>
    <v>Stock</v>
    <v>44917.737077800783</v>
    <v>1422</v>
    <v>41.02</v>
    <v>8831540676</v>
    <v>CAESARS ENTERTAINMENT, INC.</v>
    <v>CAESARS ENTERTAINMENT, INC.</v>
    <v>44.29</v>
    <v>20.490400000000001</v>
    <v>44.91</v>
    <v>41.16</v>
    <v>214566100</v>
    <v>CZR</v>
    <v>CAESARS ENTERTAINMENT, INC. (XNAS:CZR)</v>
    <v>2462182</v>
    <v>3068000</v>
    <v>2020</v>
  </rv>
  <rv s="2">
    <v>1423</v>
  </rv>
  <rv s="0">
    <v>https://www.bing.com/financeapi/forcetrigger?t=a1p2p2&amp;q=XNYS%3aBXP&amp;form=skydnc</v>
    <v>Learn more on Bing</v>
  </rv>
  <rv s="1">
    <v>en-US</v>
    <v>a1p2p2</v>
    <v>268435456</v>
    <v>1</v>
    <v>Powered by Refinitiv</v>
    <v>0</v>
    <v>BOSTON PROPERTIES, INC. (XNYS:BXP)</v>
    <v>2</v>
    <v>3</v>
    <v>Finance</v>
    <v>4</v>
    <v>133.11000000000001</v>
    <v>64.430000000000007</v>
    <v>1.0465</v>
    <v>-1.31</v>
    <v>-1.9404999999999999E-2</v>
    <v>USD</v>
    <v>Boston Properties, Inc. is a self-administered and self-managed real estate investment trust (REIT). The Company develops, owns, and manages primarily Class A office properties in the United States. Its segments by geographic area are Boston, Los Angeles, New York, San Francisco, Seattle, and Washington, District of Columbia. The Company's segments by property type include Office, Residential, and Hotel. The Company's complete portfolio totals 53.2 million square feet and 192 properties, including twelve properties under construction/redevelopment. Its properties include 172 office properties, 12 retail properties, seven residential properties (including one residential property under construction), and one hotel. The Company's tenant base includes sectors, technology and media, legal services, and life sciences.</v>
    <v>743</v>
    <v>New York Stock Exchange</v>
    <v>XNYS</v>
    <v>XNYS</v>
    <v>800 Boylston St Ste 1900, BOSTON, MA, 02199-8101 US</v>
    <v>67.69</v>
    <v>Residential &amp; Commercial REIT</v>
    <v>Stock</v>
    <v>44917.737086353904</v>
    <v>1425</v>
    <v>66.17</v>
    <v>10377161140</v>
    <v>BOSTON PROPERTIES, INC.</v>
    <v>BOSTON PROPERTIES, INC.</v>
    <v>66.849999999999994</v>
    <v>11.6389</v>
    <v>67.510000000000005</v>
    <v>66.2</v>
    <v>156754700</v>
    <v>BXP</v>
    <v>BOSTON PROPERTIES, INC. (XNYS:BXP)</v>
    <v>437483</v>
    <v>1985994</v>
    <v>1997</v>
  </rv>
  <rv s="2">
    <v>1426</v>
  </rv>
  <rv s="0">
    <v>https://www.bing.com/financeapi/forcetrigger?t=a24v8m&amp;q=XNYS%3aUHS&amp;form=skydnc</v>
    <v>Learn more on Bing</v>
  </rv>
  <rv s="1">
    <v>en-US</v>
    <v>a24v8m</v>
    <v>268435456</v>
    <v>1</v>
    <v>Powered by Refinitiv</v>
    <v>0</v>
    <v>UNIVERSAL HEALTH SERVICES, INC. (XNYS:UHS)</v>
    <v>2</v>
    <v>3</v>
    <v>Finance</v>
    <v>4</v>
    <v>158.28</v>
    <v>82.5</v>
    <v>1.2572000000000001</v>
    <v>-3.98</v>
    <v>-2.8028000000000001E-2</v>
    <v>USD</v>
    <v>Universal Health Services, Inc. is a holding company. It operates through its subsidiaries including its management company. It is engaged in owning and operating acute care hospitals and outpatient facilities, and behavioral healthcare facilities. Its segments include acute care hospital services, behavioral health care services, and Other. It owns and operates approximately 363 inpatient facilities and 40 outpatient and other facilities located in 39 states, Washington, D.C., the United Kingdom, and Puerto Rico. It provides services, which include general, and specialty surgery, internal medicine, obstetrics, emergency room care, radiology, oncology, diagnostic care, coronary care, pediatric services, pharmacy services and/or behavioral health services. It also provides capital resources as well as a variety of management services to its facilities, including information services, finance and control systems, facilities planning, physician recruitment services, and public relations.</v>
    <v>68300</v>
    <v>New York Stock Exchange</v>
    <v>XNYS</v>
    <v>XNYS</v>
    <v>367 S GULPH RD, KING OF PRUSSIA, PA, 19406 US</v>
    <v>141.63</v>
    <v>Healthcare Providers &amp; Services</v>
    <v>Stock</v>
    <v>44917.737046376562</v>
    <v>1428</v>
    <v>137.70500000000001</v>
    <v>10139690000</v>
    <v>UNIVERSAL HEALTH SERVICES, INC.</v>
    <v>UNIVERSAL HEALTH SERVICES, INC.</v>
    <v>141.18</v>
    <v>14.613200000000001</v>
    <v>142</v>
    <v>138.02000000000001</v>
    <v>71410430</v>
    <v>UHS</v>
    <v>UNIVERSAL HEALTH SERVICES, INC. (XNYS:UHS)</v>
    <v>210894</v>
    <v>823455</v>
    <v>1979</v>
  </rv>
  <rv s="2">
    <v>1429</v>
  </rv>
  <rv s="0">
    <v>https://www.bing.com/financeapi/forcetrigger?t=a1naqh&amp;q=XNYS%3aALLE&amp;form=skydnc</v>
    <v>Learn more on Bing</v>
  </rv>
  <rv s="1">
    <v>en-US</v>
    <v>a1naqh</v>
    <v>268435456</v>
    <v>1</v>
    <v>Powered by Refinitiv</v>
    <v>0</v>
    <v>ALLEGION PUBLIC LIMITED COMPANY (XNYS:ALLE)</v>
    <v>2</v>
    <v>3</v>
    <v>Finance</v>
    <v>4</v>
    <v>133.52000000000001</v>
    <v>87.33</v>
    <v>1.0858000000000001</v>
    <v>-2.86</v>
    <v>-2.6791999999999996E-2</v>
    <v>USD</v>
    <v>Allegion plc (Allegion) is a global company that provides security products and solutions. The Company operates through two segments: Allegion Americas and Allegion International. The Company is engaged in selling a range of security products and solutions for end-users in commercial, institutional and residential facilities, including the education, healthcare, government, hospitality, commercial office and single and multi-family residential markets. Allegion offers a portfolio of security and access control products and solutions across a range of brands including CISA, Interflex, LCN, Schlage, SimonsVoss and Von Duprin. Allegion Americas segment products and solutions includes locks, locksets, portable locks, key systems, door closers, exit devices, doors, door systems, electronic products, and access control systems. Allegion International segment products, services, and solutions includes locks, locksets, portable locks, key systems, exit devices, and doors and door systems.</v>
    <v>11000</v>
    <v>New York Stock Exchange</v>
    <v>XNYS</v>
    <v>XNYS</v>
    <v>Block E Iveagh Court, Harcourt Road, DUBLIN, DUBLIN, 00000 IE</v>
    <v>105.06</v>
    <v>Communications &amp; Networking</v>
    <v>Stock</v>
    <v>44917.736824305466</v>
    <v>1431</v>
    <v>103.79</v>
    <v>9126198349</v>
    <v>ALLEGION PUBLIC LIMITED COMPANY</v>
    <v>ALLEGION PUBLIC LIMITED COMPANY</v>
    <v>105.06</v>
    <v>21.7471</v>
    <v>106.75</v>
    <v>103.89</v>
    <v>87844820</v>
    <v>ALLE</v>
    <v>ALLEGION PUBLIC LIMITED COMPANY (XNYS:ALLE)</v>
    <v>143118</v>
    <v>564637</v>
    <v>2013</v>
  </rv>
  <rv s="2">
    <v>1432</v>
  </rv>
  <rv s="0">
    <v>https://www.bing.com/financeapi/forcetrigger?t=a21ua2&amp;q=XNAS%3aREG&amp;form=skydnc</v>
    <v>Learn more on Bing</v>
  </rv>
  <rv s="1">
    <v>en-US</v>
    <v>a21ua2</v>
    <v>268435456</v>
    <v>1</v>
    <v>Powered by Refinitiv</v>
    <v>0</v>
    <v>REGENCY CENTERS CORPORATION (XNAS:REG)</v>
    <v>2</v>
    <v>3</v>
    <v>Finance</v>
    <v>4</v>
    <v>78.78</v>
    <v>51.97</v>
    <v>1.1244000000000001</v>
    <v>-1.05</v>
    <v>-1.6796999999999999E-2</v>
    <v>USD</v>
    <v>Regency Centers Corporation is a fully integrated real estate company and self-administered and self-managed real estate investment trust. The Company conducts all its operations through Regency Centers, L.P. (the Operating Partnership). It is engaged in the ownership, management, leasing, acquisition, development, and redevelopment of shopping centers through the Operating Partnership. It owns approximately 302 properties and holds partial interests in an additional 103 properties through investments in real estate partnerships. The Company's properties include Friars Mission Center, Navajo Shopping Center, Point Loma Plaza, Rancho San Diego Village, Scripps Ranch Marketplace, The Hub Hillcrest Market, Twin Peaks, 200 Potrero, Bayhill Shopping Center, Clayton Valley Shopping Center, Diablo Plaza, Encina Grande, Plaza Escuela, Pleasant Hill Shopping Center, Potrero Center, Tassajara Crossing, Woodside Central, Mariposa Shopping Center, Shoppes at Homestead, and Snell &amp; Branham Plaza.</v>
    <v>432</v>
    <v>Nasdaq Stock Market</v>
    <v>XNAS</v>
    <v>XNAS</v>
    <v>SUITE 114, ONE INDEPENDENT DRIVE, JACKSONVILLE, FL, 32202 US</v>
    <v>62.51</v>
    <v>Residential &amp; Commercial REIT</v>
    <v>Stock</v>
    <v>44917.737093599222</v>
    <v>1434</v>
    <v>61.45</v>
    <v>10517201142</v>
    <v>REGENCY CENTERS CORPORATION</v>
    <v>REGENCY CENTERS CORPORATION</v>
    <v>62.5</v>
    <v>23.584299999999999</v>
    <v>62.51</v>
    <v>61.46</v>
    <v>171122700</v>
    <v>REG</v>
    <v>REGENCY CENTERS CORPORATION (XNAS:REG)</v>
    <v>140456</v>
    <v>994206</v>
    <v>1993</v>
  </rv>
  <rv s="2">
    <v>1435</v>
  </rv>
  <rv s="0">
    <v>https://www.bing.com/financeapi/forcetrigger?t=a1wrf2&amp;q=XNYS%3aBBWI&amp;form=skydnc</v>
    <v>Learn more on Bing</v>
  </rv>
  <rv s="1">
    <v>en-US</v>
    <v>a1wrf2</v>
    <v>268435456</v>
    <v>1</v>
    <v>Powered by Refinitiv</v>
    <v>0</v>
    <v>BATH &amp; BODY WORKS, INC. (XNYS:BBWI)</v>
    <v>2</v>
    <v>3</v>
    <v>Finance</v>
    <v>4</v>
    <v>71.510000000000005</v>
    <v>25.75</v>
    <v>1.7025999999999999</v>
    <v>-1.5</v>
    <v>-3.6389999999999999E-2</v>
    <v>USD</v>
    <v>Bath &amp; Body Works, Inc. is operating as a specialty retailer of home fragrance, body care products, soaps and sanitizer products. The Company’s products offerings include fine fragrance mist, body lotion and body cream, 3-wick candles, home fragrance diffusers and liquid hand soap. The Company is operating approximately 1,755 stores and e-commerce sites in the United States and Canada. It is also operating more than 338 stores and 27 e-commerce sites in approximately 35 other countries operating under franchise, license and wholesale arrangements. The Company offers its products under Bath &amp; Body Works, White Barn, Aromatherapy and other brand names.</v>
    <v>8800</v>
    <v>New York Stock Exchange</v>
    <v>XNYS</v>
    <v>XNYS</v>
    <v>THREE LIMITED PKWY, P O BOX 16000, COLUMBUS, OH, 43230 US</v>
    <v>40.67</v>
    <v>Specialty Retailers</v>
    <v>Stock</v>
    <v>44917.737030185155</v>
    <v>1437</v>
    <v>39.71</v>
    <v>9072627912</v>
    <v>BATH &amp; BODY WORKS, INC.</v>
    <v>BATH &amp; BODY WORKS, INC.</v>
    <v>40.369999999999997</v>
    <v>10.782299999999999</v>
    <v>41.22</v>
    <v>39.72</v>
    <v>228414600</v>
    <v>BBWI</v>
    <v>BATH &amp; BODY WORKS, INC. (XNYS:BBWI)</v>
    <v>522241</v>
    <v>4825342</v>
    <v>1982</v>
  </rv>
  <rv s="2">
    <v>1438</v>
  </rv>
  <rv s="0">
    <v>https://www.bing.com/financeapi/forcetrigger?t=a24fmw&amp;q=XNYS%3aTPR&amp;form=skydnc</v>
    <v>Learn more on Bing</v>
  </rv>
  <rv s="1">
    <v>en-US</v>
    <v>a24fmw</v>
    <v>268435456</v>
    <v>1</v>
    <v>Powered by Refinitiv</v>
    <v>0</v>
    <v>TAPESTRY, INC. (XNYS:TPR)</v>
    <v>2</v>
    <v>3</v>
    <v>Finance</v>
    <v>4</v>
    <v>42.36</v>
    <v>26.39</v>
    <v>1.4014</v>
    <v>-0.35199999999999998</v>
    <v>-9.4730000000000005E-3</v>
    <v>USD</v>
    <v>Tapestry, Inc. is a global house of luxury accessories and lifestyle brands. The Company's brands include Coach, Kate spade New York, and Stuart Weitzman. The Company operates through three segments: Coach, Kate Spade and Stuart Weitzman. The Coach segment includes global sales of Coach products to customers through Coach operated stores, including e-commerce sites and concession shop-in-shops, and sales to wholesale customers and through independent third-party distributors. The Kate Spade segment includes global sales primarily of Kate Spade New York brand products to customers through Kate Spade operated stores, including e-commerce sites and concession shop-in-shops, sales to wholesale customers, and through independent third-party distributors. The Stuart Weitzman segment includes global sales of Stuart Weitzman brand products primarily through Stuart Weitzman operated stores, sales to wholesale customers, through e-commerce sites, and through independent third-party distributors.</v>
    <v>12600</v>
    <v>New York Stock Exchange</v>
    <v>XNYS</v>
    <v>XNYS</v>
    <v>10 Hudson Yards, NEW YORK, NY, 10001 US</v>
    <v>37.215000000000003</v>
    <v>Specialty Retailers</v>
    <v>Stock</v>
    <v>44917.737065358597</v>
    <v>1440</v>
    <v>36.74</v>
    <v>8869303530</v>
    <v>TAPESTRY, INC.</v>
    <v>TAPESTRY, INC.</v>
    <v>36.85</v>
    <v>11.8064</v>
    <v>37.159999999999997</v>
    <v>36.808</v>
    <v>240961300</v>
    <v>TPR</v>
    <v>TAPESTRY, INC. (XNYS:TPR)</v>
    <v>979999</v>
    <v>3607872</v>
    <v>2000</v>
  </rv>
  <rv s="2">
    <v>1441</v>
  </rv>
  <rv s="0">
    <v>https://www.bing.com/financeapi/forcetrigger?t=bp8fww&amp;q=XNAS%3aFOXA&amp;form=skydnc</v>
    <v>Learn more on Bing</v>
  </rv>
  <rv s="1">
    <v>en-US</v>
    <v>bp8fww</v>
    <v>268435456</v>
    <v>1</v>
    <v>Powered by Refinitiv</v>
    <v>0</v>
    <v>FOX CORPORATION (XNAS:FOXA)</v>
    <v>2</v>
    <v>3</v>
    <v>Finance</v>
    <v>4</v>
    <v>44.95</v>
    <v>28.015000000000001</v>
    <v>0.86099999999999999</v>
    <v>-0.21</v>
    <v>-6.9240000000000005E-3</v>
    <v>USD</v>
    <v>Fox Corporation is a news, sports, and entertainment company. The Company operates in three segments: Cable Network Programming, Television and Other, Corporate and Eliminations. The Cable Network Programming segment produces, and licenses news and sports content distributed through traditional cable television systems, direct broadcast satellite operators and telecommunication companies (traditional MVPDs), virtual multi-channel video programming distributors (virtual MVPDs) and other digital platforms, primarily in the United States. Television segment produces, acquires, markets, and distributes programming through the FOX broadcast network, advertising supported video-on-demand (AVOD) service TUBI, 29 full broadcast television stations, including 11 duopolies, and other digital platforms, primarily in the United States. Other, Corporate and Eliminations segment consist of the FOX Studio Lot, which provides television and film production services and Credible Labs Inc.</v>
    <v>10600</v>
    <v>Nasdaq Stock Market</v>
    <v>XNAS</v>
    <v>XNAS</v>
    <v>1211 Avenue of the Americas, NEW YORK, NY, 10036-8701 US</v>
    <v>30.41</v>
    <v>Media &amp; Publishing</v>
    <v>Stock</v>
    <v>44917.736991955469</v>
    <v>1443</v>
    <v>30.01</v>
    <v>15993870000</v>
    <v>FOX CORPORATION</v>
    <v>FOX CORPORATION</v>
    <v>30.1</v>
    <v>15.2339</v>
    <v>30.33</v>
    <v>30.12</v>
    <v>542693600</v>
    <v>FOXA</v>
    <v>FOX CORPORATION (XNAS:FOXA)</v>
    <v>575199</v>
    <v>2500400</v>
    <v>2018</v>
  </rv>
  <rv s="2">
    <v>1444</v>
  </rv>
  <rv s="0">
    <v>https://www.bing.com/financeapi/forcetrigger?t=a1uozr&amp;q=XNYS%3aHII&amp;form=skydnc</v>
    <v>Learn more on Bing</v>
  </rv>
  <rv s="1">
    <v>en-US</v>
    <v>a1uozr</v>
    <v>268435456</v>
    <v>1</v>
    <v>Powered by Refinitiv</v>
    <v>0</v>
    <v>HUNTINGTON INGALLS INDUSTRIES, INC. (XNYS:HII)</v>
    <v>2</v>
    <v>3</v>
    <v>Finance</v>
    <v>4</v>
    <v>260.02</v>
    <v>177.2</v>
    <v>0.62139999999999995</v>
    <v>-3.91</v>
    <v>-1.6969999999999999E-2</v>
    <v>USD</v>
    <v>Huntington Ingalls Industries, Inc. is a military shipbuilding company and a provider of professional services to partners in government and industry. The Company's business consists of the design, construction, repair and maintenance of nuclear-powered ships and non-nuclear ships for the United States Navy and coastal defense surface ships for the United States Coast Guard, as well as the refueling and overhaul and inactivation of nuclear-powered ships for the United States Navy. Its segments include Ingalls Shipbuilding (Ingalls), Newport News Shipbuilding (Newport News) and Technical Solutions. Ingalls segment includes its non-nuclear ship design, construction, repair and maintenance businesses. Newport News includes all of its nuclear ship design, construction, overhaul, refueling, and repair and maintenance businesses. Technical Solutions segment provides professional services, including defense and federal solutions (DFS), nuclear and environmental services and unmanned systems.</v>
    <v>43000</v>
    <v>New York Stock Exchange</v>
    <v>XNYS</v>
    <v>XNYS</v>
    <v>909-7, 7J2, 4101 Washington Avenue, NEWPORT NEWS, VA, 23607 US</v>
    <v>229.77</v>
    <v>Aerospace &amp; Defense</v>
    <v>Stock</v>
    <v>44917.737038113279</v>
    <v>1446</v>
    <v>226.5</v>
    <v>9038151810</v>
    <v>HUNTINGTON INGALLS INDUSTRIES, INC.</v>
    <v>HUNTINGTON INGALLS INDUSTRIES, INC.</v>
    <v>229.71</v>
    <v>16.047499999999999</v>
    <v>230.41</v>
    <v>226.5</v>
    <v>39903540</v>
    <v>HII</v>
    <v>HUNTINGTON INGALLS INDUSTRIES, INC. (XNYS:HII)</v>
    <v>49342</v>
    <v>438412</v>
    <v>2010</v>
  </rv>
  <rv s="2">
    <v>1447</v>
  </rv>
  <rv s="0">
    <v>https://www.bing.com/financeapi/forcetrigger?t=a261ec&amp;q=XNYS%3aWRK&amp;form=skydnc</v>
    <v>Learn more on Bing</v>
  </rv>
  <rv s="1">
    <v>en-US</v>
    <v>a261ec</v>
    <v>268435456</v>
    <v>1</v>
    <v>Powered by Refinitiv</v>
    <v>0</v>
    <v>WESTROCK COMPANY (XNYS:WRK)</v>
    <v>2</v>
    <v>3</v>
    <v>Finance</v>
    <v>4</v>
    <v>54.78</v>
    <v>30.08</v>
    <v>1.1465000000000001</v>
    <v>-0.97</v>
    <v>-2.7517999999999997E-2</v>
    <v>USD</v>
    <v>WestRock Company is a multinational provider of fiber-based paper and packaging solutions. The Company operates through four segments: Corrugated Packaging, Consumer Packaging, Global Paper and Distribution. Its Corrugated Packaging segment consists of its integrated corrugated converting operations and is engaged in the sale of corrugated containers and other corrugated products. Its Consumer Packaging segment consists of its integrated consumer converting operations and is engaged in the sale of consumer packaging products, such as folding cartons and interior partitions. Its Global Paper segment consists of its commercial paper operations and is engaged in the sale of containerboard and paperboard to external customers. Its Distribution segment is primarily engaged in the distribution of packaging products and assembly of display products. The Company supports customers around the world from locations spanning across North America, South America, Europe, Asia and Australia.</v>
    <v>50500</v>
    <v>New York Stock Exchange</v>
    <v>XNYS</v>
    <v>XNYS</v>
    <v>1000 Abernathy Rd, ATLANTA, GA, 30328-5606 US</v>
    <v>34.94</v>
    <v>Containers &amp; Packaging</v>
    <v>Stock</v>
    <v>44917.737085821092</v>
    <v>1449</v>
    <v>34.28</v>
    <v>8724880468</v>
    <v>WESTROCK COMPANY</v>
    <v>WESTROCK COMPANY</v>
    <v>34.880000000000003</v>
    <v>9.6702999999999992</v>
    <v>35.25</v>
    <v>34.28</v>
    <v>254518100</v>
    <v>WRK</v>
    <v>WESTROCK COMPANY (XNYS:WRK)</v>
    <v>311974</v>
    <v>1806088</v>
    <v>2018</v>
  </rv>
  <rv s="2">
    <v>1450</v>
  </rv>
  <rv s="0">
    <v>https://www.bing.com/financeapi/forcetrigger?t=a1oi1h&amp;q=XNYS%3aBIO&amp;form=skydnc</v>
    <v>Learn more on Bing</v>
  </rv>
  <rv s="1">
    <v>en-US</v>
    <v>a1oi1h</v>
    <v>268435456</v>
    <v>1</v>
    <v>Powered by Refinitiv</v>
    <v>0</v>
    <v>BIO-RAD LABORATORIES, INC. (XNYS:BIO)</v>
    <v>2</v>
    <v>3</v>
    <v>Finance</v>
    <v>4</v>
    <v>765.4</v>
    <v>344.63</v>
    <v>0.91779999999999995</v>
    <v>-9.7200000000000006</v>
    <v>-2.3556000000000001E-2</v>
    <v>USD</v>
    <v>Bio-Rad Laboratories, Inc. manufactures and supplies the life science research, healthcare, analytical chemistry and other markets with a range of products and systems used to separate chemical and biological materials and to identify, analyze and purify their components. Its segments include Life Science and Clinical Diagnostics. Its Life Science segment markets and develops, manufactures and markets approximately 9,000 reagents, apparatus and laboratory instruments that serve a global customer base. Its products are used in research techniques, biopharmaceutical production processes and food testing regimes. Its Clinical Diagnostics segment designs, manufactures, sells and supports test systems, informatics systems, test kits and specialized quality controls that serve clinical laboratories in the global diagnostics market. It supplies approximately 3,000 different products that cover over 300 clinical diagnostic tests to the in vitro diagnostics (IVD) test market.</v>
    <v>7900</v>
    <v>New York Stock Exchange</v>
    <v>XNYS</v>
    <v>XNYS</v>
    <v>1000 ALFRED NOBEL DR, HERCULES, CA, 94547 US</v>
    <v>411.69979999999998</v>
    <v>Healthcare Equipment &amp; Supplies</v>
    <v>Stock</v>
    <v>44917.735975751566</v>
    <v>1452</v>
    <v>402.92</v>
    <v>12266130000</v>
    <v>BIO-RAD LABORATORIES, INC.</v>
    <v>BIO-RAD LABORATORIES, INC.</v>
    <v>405.38</v>
    <v>2.4802</v>
    <v>412.64</v>
    <v>402.92</v>
    <v>29824130</v>
    <v>BIO</v>
    <v>BIO-RAD LABORATORIES, INC. (XNYS:BIO)</v>
    <v>20675</v>
    <v>181569</v>
    <v>1975</v>
  </rv>
  <rv s="2">
    <v>1453</v>
  </rv>
  <rv s="0">
    <v>https://www.bing.com/financeapi/forcetrigger?t=a2139c&amp;q=XNYS%3aPNW&amp;form=skydnc</v>
    <v>Learn more on Bing</v>
  </rv>
  <rv s="1">
    <v>en-US</v>
    <v>a2139c</v>
    <v>268435456</v>
    <v>1</v>
    <v>Powered by Refinitiv</v>
    <v>0</v>
    <v>PINNACLE WEST CAPITAL CORPORATION (XNYS:PNW)</v>
    <v>2</v>
    <v>3</v>
    <v>Finance</v>
    <v>4</v>
    <v>80.599999999999994</v>
    <v>59.03</v>
    <v>0.41670000000000001</v>
    <v>-1.21</v>
    <v>-1.5623E-2</v>
    <v>USD</v>
    <v>Pinnacle West Capital Corporation is a holding company that conducts business, through its subsidiaries, Arizona Public Service Company (APS), El Dorado, BCE and 4CA. The Company's business segment is regulated electricity segment, which consists of traditional regulated retail and wholesale electricity businesses (primarily electric service to Native Load customers) and related activities, and includes electricity generation, transmission, and distribution. APS provides electric service to approximately 1.3 million customers. PS is also the operator and co-owner of Palo Verde, a primary source of electricity for the southwest United States and nuclear power plant in the United States. The Company owns or lease approximately 6,323 megawatts (MW) of regulated generation capacity. El Dorado owns debt investments and minority interests in several energy-related investments and Arizona community-based ventures. BCE develops, owns, operates and acquires energy infrastructure.</v>
    <v>91</v>
    <v>New York Stock Exchange</v>
    <v>XNYS</v>
    <v>XNYS</v>
    <v>400 NORTH FIFTH STREET, MS 8695, PHOENIX, AZ, 85004 US</v>
    <v>77.19</v>
    <v>Electrical Utilities &amp; IPPs</v>
    <v>Stock</v>
    <v>44917.736905300779</v>
    <v>1455</v>
    <v>76.239999999999995</v>
    <v>8625808848</v>
    <v>PINNACLE WEST CAPITAL CORPORATION</v>
    <v>PINNACLE WEST CAPITAL CORPORATION</v>
    <v>76.94</v>
    <v>17.619</v>
    <v>77.45</v>
    <v>76.239999999999995</v>
    <v>113140200</v>
    <v>PNW</v>
    <v>PINNACLE WEST CAPITAL CORPORATION (XNYS:PNW)</v>
    <v>160186</v>
    <v>935538</v>
    <v>1985</v>
  </rv>
  <rv s="2">
    <v>1456</v>
  </rv>
  <rv s="0">
    <v>https://www.bing.com/financeapi/forcetrigger?t=a226rw&amp;q=XNYS%3aROL&amp;form=skydnc</v>
    <v>Learn more on Bing</v>
  </rv>
  <rv s="1">
    <v>en-US</v>
    <v>a226rw</v>
    <v>268435456</v>
    <v>1</v>
    <v>Powered by Refinitiv</v>
    <v>0</v>
    <v>ROLLINS, INC. (XNYS:ROL)</v>
    <v>2</v>
    <v>3</v>
    <v>Finance</v>
    <v>4</v>
    <v>43.06</v>
    <v>28.504999999999999</v>
    <v>0.64480000000000004</v>
    <v>-0.85</v>
    <v>-2.2733E-2</v>
    <v>USD</v>
    <v>Rollins, Inc. (Rollins) is an international services company. It provides pest and wildlife control services and protection against termite damage, rodents and insects to both residential and commercial customers through its wholly owned subsidiaries and independent franchises located in approximately 70 countries, including United States, Canada, Australia, Europe, and Asia with international franchises in Canada, Central and South America, the Caribbean, Europe, the Middle East, Asia, Africa, and Australia. Rollins operates under three business lines, namely Residential, which includes pest control services protecting residential properties from common pests, including rodents, insects and wildlife; Commercial, which consist of workplace pest control solutions for customers across diverse end markets such as healthcare, foodservice, logistics, and Termite, which consist of traditional and baiting termite protection services and ancillary services for customers.</v>
    <v>16482</v>
    <v>New York Stock Exchange</v>
    <v>XNYS</v>
    <v>XNYS</v>
    <v>2170 PIEDMONT RD NE, ATLANTA, GA, 30324 US</v>
    <v>37</v>
    <v>Professional &amp; Commercial Services</v>
    <v>Stock</v>
    <v>44917.736988171091</v>
    <v>1458</v>
    <v>36.520000000000003</v>
    <v>17994941496</v>
    <v>ROLLINS, INC.</v>
    <v>ROLLINS, INC.</v>
    <v>36.979999999999997</v>
    <v>53.249200000000002</v>
    <v>37.39</v>
    <v>36.54</v>
    <v>492472400</v>
    <v>ROL</v>
    <v>ROLLINS, INC. (XNYS:ROL)</v>
    <v>292088</v>
    <v>1921962</v>
    <v>1948</v>
  </rv>
  <rv s="2">
    <v>1459</v>
  </rv>
  <rv s="0">
    <v>https://www.bing.com/financeapi/forcetrigger?t=a2655r&amp;q=XNAS%3aWYNN&amp;form=skydnc</v>
    <v>Learn more on Bing</v>
  </rv>
  <rv s="1">
    <v>en-US</v>
    <v>a2655r</v>
    <v>268435456</v>
    <v>1</v>
    <v>Powered by Refinitiv</v>
    <v>0</v>
    <v>WYNN RESORTS, LIMITED (XNAS:WYNN)</v>
    <v>2</v>
    <v>3</v>
    <v>Finance</v>
    <v>4</v>
    <v>96.5</v>
    <v>50.2</v>
    <v>1.9382999999999999</v>
    <v>-2.3199999999999998</v>
    <v>-2.8087000000000001E-2</v>
    <v>USD</v>
    <v>Wynn Resorts, Limited (Wynn Resorts) is a designer, developer, and operator of integrated resorts featuring luxury hotel rooms, high-end retail space, dining and entertainment options and gaming. Its segments include Wynn Palace, Wynn Macau, Las Vegas Operations, and Encore Boston. Wynn Palace is a luxury integrated resort on the Cotai Strip in Macau, with approximately 1,706 exquisite rooms, suites and villas, 14 food and beverage outlets and meeting and convention space. Wynn Macau is a luxury resort located in the Macau Special Administrative Region of the People's Republic of China with approximately 1,010 spacious rooms and suites, approximately 12 dining and bar, convention space, and two opulent spas such as salon and rotunda show. Encore Boston Harbor is a luxury resort with approximately 671 hotel rooms, an ultra-premium spa, specialty shopping, 16 dining and lounge venues, ballroom and meeting spaces, a six-acre public park and Harborwalk.</v>
    <v>26950</v>
    <v>Nasdaq Stock Market</v>
    <v>XNAS</v>
    <v>XNAS</v>
    <v>3131 Las Vegas Blvd S, LAS VEGAS, NV, 89109 US</v>
    <v>82.83</v>
    <v>Hotels &amp; Entertainment Services</v>
    <v>Stock</v>
    <v>44917.73710731406</v>
    <v>1461</v>
    <v>80.19</v>
    <v>9096815808</v>
    <v>WYNN RESORTS, LIMITED</v>
    <v>WYNN RESORTS, LIMITED</v>
    <v>82.05</v>
    <v>69.583200000000005</v>
    <v>82.6</v>
    <v>80.28</v>
    <v>113313600</v>
    <v>WYNN</v>
    <v>WYNN RESORTS, LIMITED (XNAS:WYNN)</v>
    <v>781327</v>
    <v>2515562</v>
    <v>2002</v>
  </rv>
  <rv s="2">
    <v>1462</v>
  </rv>
  <rv s="0">
    <v>https://www.bing.com/financeapi/forcetrigger?t=a1mor7&amp;q=XNYS%3aAAP&amp;form=skydnc</v>
    <v>Learn more on Bing</v>
  </rv>
  <rv s="1">
    <v>en-US</v>
    <v>a1mor7</v>
    <v>268435456</v>
    <v>1</v>
    <v>Powered by Refinitiv</v>
    <v>0</v>
    <v>ADVANCE AUTO PARTS, INC. (XNYS:AAP)</v>
    <v>2</v>
    <v>3</v>
    <v>Finance</v>
    <v>4</v>
    <v>244.55</v>
    <v>138.5257</v>
    <v>1.1862999999999999</v>
    <v>-3.35</v>
    <v>-2.3542999999999998E-2</v>
    <v>USD</v>
    <v>Advance Auto Parts, Inc. is an automotive aftermarket parts provider in North America, serving both professional installers and do-it-yourself (DIY) customers. Its stores and branches offer a selection of brand names, original equipment manufacturers (OEM), and brand-owned automotive replacement parts, accessories, batteries and maintenance items for domestic and imported cars, vans, sport utility vehicles, and light and heavy-duty trucks. It operates approximately 4,747 stores and 313 branches within the United States, Canada, Puerto Rico, and the United States Virgin Islands. The Company operates through four trade names: Advance Auto Parts, Autopart International, Carquest, and Worldpac. Its Advance Auto Parts focus on both professional and DIY customers. The stores carry a variety of products serving aftermarket auto part needs for both domestic and import vehicles. Its Autopart International operates in the North-eastern and Mid-Atlantic regions of the United States.</v>
    <v>41000</v>
    <v>New York Stock Exchange</v>
    <v>XNYS</v>
    <v>XNYS</v>
    <v>4200 Six Forks Road, RALEIGH, NC, 27609 US</v>
    <v>140.80000000000001</v>
    <v>Specialty Retailers</v>
    <v>Stock</v>
    <v>44917.737108668749</v>
    <v>1464</v>
    <v>138.5257</v>
    <v>8232711856</v>
    <v>ADVANCE AUTO PARTS, INC.</v>
    <v>ADVANCE AUTO PARTS, INC.</v>
    <v>140.55000000000001</v>
    <v>18.253599999999999</v>
    <v>142.29</v>
    <v>138.94</v>
    <v>59253720</v>
    <v>AAP</v>
    <v>ADVANCE AUTO PARTS, INC. (XNYS:AAP)</v>
    <v>231933</v>
    <v>1385096</v>
    <v>2001</v>
  </rv>
  <rv s="2">
    <v>1465</v>
  </rv>
  <rv s="0">
    <v>https://www.bing.com/financeapi/forcetrigger?t=a1pw9c&amp;q=XNYS%3aCMA&amp;form=skydnc</v>
    <v>Learn more on Bing</v>
  </rv>
  <rv s="1">
    <v>en-US</v>
    <v>a1pw9c</v>
    <v>268435456</v>
    <v>1</v>
    <v>Powered by Refinitiv</v>
    <v>0</v>
    <v>COMERICA INCORPORATED (XNYS:CMA)</v>
    <v>2</v>
    <v>3</v>
    <v>Finance</v>
    <v>4</v>
    <v>102.09</v>
    <v>62.83</v>
    <v>1.2185999999999999</v>
    <v>-1.1299999999999999</v>
    <v>-1.7377E-2</v>
    <v>USD</v>
    <v>Comerica Incorporated is a financial holding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v>
    <v>7223</v>
    <v>New York Stock Exchange</v>
    <v>XNYS</v>
    <v>XNYS</v>
    <v>1717 Main Street Mc6404, Attn: Kelly Gage, DALLAS, TX, 75201 US</v>
    <v>64.599999999999994</v>
    <v>Banking Services</v>
    <v>Stock</v>
    <v>44917.737096087498</v>
    <v>1467</v>
    <v>63.84</v>
    <v>8367858360</v>
    <v>COMERICA INCORPORATED</v>
    <v>COMERICA INCORPORATED</v>
    <v>64.349999999999994</v>
    <v>8.6137999999999995</v>
    <v>65.03</v>
    <v>63.9</v>
    <v>130952400</v>
    <v>CMA</v>
    <v>COMERICA INCORPORATED (XNYS:CMA)</v>
    <v>527052</v>
    <v>1372044</v>
    <v>1972</v>
  </rv>
  <rv s="2">
    <v>1468</v>
  </rv>
  <rv s="0">
    <v>http://en.wikipedia.org/wiki/CBS_Corporation</v>
    <v>Wikipedia</v>
  </rv>
  <rv s="3">
    <v>3</v>
    <v>1470</v>
  </rv>
  <rv s="4">
    <v>9</v>
    <v>https://www.bing.com/th?id=AMMS_6017cbc2a2b9a7e0267820597f74cec1&amp;qlt=95</v>
    <v>1471</v>
    <v>0</v>
    <v>https://www.bing.com/images/search?form=xlimg&amp;q=cbs+corporation</v>
    <v>Image of PARAMOUNT GLOBAL</v>
  </rv>
  <rv s="0">
    <v>https://www.bing.com/financeapi/forcetrigger?t=a1pb4c&amp;q=XNAS%3aPARA&amp;form=skydnc</v>
    <v>Learn more on Bing</v>
  </rv>
  <rv s="5">
    <v>en-US</v>
    <v>a1pb4c</v>
    <v>268435456</v>
    <v>1</v>
    <v>Powered by Refinitiv</v>
    <v>5</v>
    <v>PARAMOUNT GLOBAL (XNAS:PARA)</v>
    <v>7</v>
    <v>8</v>
    <v>Finance</v>
    <v>4</v>
    <v>39.21</v>
    <v>15.29</v>
    <v>1.5366</v>
    <v>-0.54500000000000004</v>
    <v>-3.2286999999999996E-2</v>
    <v>USD</v>
    <v>Paramount Global, formerly ViacomCBS Inc., is a global media and entertainment company that creates content for audiences worldwide. The Company's TV Media segment consists of its domestic and international broadcast networks, including the CBS Television Network, Network 10, Channel 5, Telefe, and Chilevision; premium and basic cable networks, including Showtime, BET, Nickelodeon, MTV, Comedy Central, Paramount Network, Smithsonian Channel, international extensions of these brands and CBS Sports Network; television production operations, including CBS Studios, Paramount Television Studios, and CBS Media Ventures. The Direct-to-Consumer segment consists of a portfolio of pay, free, and premium global direct-to-consumer streaming services, including Paramount+, Pluto TV, Showtime Networks’ premium subscription streaming service, BET+, and Noggin. Its Filmed Entertainment segment consists of Paramount Pictures, Paramount Players, Paramount Animation, Nickelodeon Studio, and Miramax.</v>
    <v>22965</v>
    <v>Nasdaq Stock Market</v>
    <v>XNAS</v>
    <v>XNAS</v>
    <v>1515 Broadway, NEW YORK, NY, 10036 US</v>
    <v>16.739999999999998</v>
    <v>1472</v>
    <v>Media &amp; Publishing</v>
    <v>Stock</v>
    <v>44917.737094606251</v>
    <v>1473</v>
    <v>16.324999999999999</v>
    <v>11077330000</v>
    <v>PARAMOUNT GLOBAL</v>
    <v>PARAMOUNT GLOBAL</v>
    <v>16.66</v>
    <v>3.5767000000000002</v>
    <v>16.88</v>
    <v>16.335000000000001</v>
    <v>649174400</v>
    <v>PARA</v>
    <v>PARAMOUNT GLOBAL (XNAS:PARA)</v>
    <v>4025431</v>
    <v>12263316</v>
    <v>1986</v>
  </rv>
  <rv s="2">
    <v>1474</v>
  </rv>
  <rv s="0">
    <v>https://www.bing.com/financeapi/forcetrigger?t=a1stjc&amp;q=XNAS%3aFFIV&amp;form=skydnc</v>
    <v>Learn more on Bing</v>
  </rv>
  <rv s="1">
    <v>en-US</v>
    <v>a1stjc</v>
    <v>268435456</v>
    <v>1</v>
    <v>Powered by Refinitiv</v>
    <v>0</v>
    <v>F5, INC. (XNAS:FFIV)</v>
    <v>2</v>
    <v>3</v>
    <v>Finance</v>
    <v>4</v>
    <v>249</v>
    <v>133.67500000000001</v>
    <v>1.1002000000000001</v>
    <v>-3.65</v>
    <v>-2.5683999999999998E-2</v>
    <v>USD</v>
    <v>F5, Inc. is a provider of multi-cloud application security and delivery solutions which enable its customers to develop, deploy, operate, secure, and govern applications in any architecture, from on-premises to the public cloud. The Company's cloud, software, and hardware solutions enable its customers to deliver digital experiences to their customers faster, reliably, and at scale. The Company's enterprise-grade application services are available as cloud-based, software-as-a-service, and software-only solutions optimized for multi-cloud environments, with modules that can run independently, or as part of an integrated solution on its high-performance appliances. In connection with its solutions, the Company offers a range of professional services, including consulting, training, installation, maintenance, and other technical support services. It markets and sells its products in the Americas; Europe, the Middle East, and Africa (EMEA), and the Asia Pacific region (APAC).</v>
    <v>7089</v>
    <v>Nasdaq Stock Market</v>
    <v>XNAS</v>
    <v>XNAS</v>
    <v>801 5Th Avenue, SEATTLE, WA, 98104 US</v>
    <v>140.19999999999999</v>
    <v>Software &amp; IT Services</v>
    <v>Stock</v>
    <v>44917.736929085157</v>
    <v>1476</v>
    <v>137.49</v>
    <v>8358637740</v>
    <v>F5, INC.</v>
    <v>F5, INC.</v>
    <v>140.19999999999999</v>
    <v>26.9086</v>
    <v>142.11000000000001</v>
    <v>138.46</v>
    <v>60368610</v>
    <v>FFIV</v>
    <v>F5, INC. (XNAS:FFIV)</v>
    <v>270221</v>
    <v>466033</v>
    <v>1996</v>
  </rv>
  <rv s="2">
    <v>1477</v>
  </rv>
  <rv s="0">
    <v>https://www.bing.com/financeapi/forcetrigger?t=a1vwxm&amp;q=XNYS%3aIVZ&amp;form=skydnc</v>
    <v>Learn more on Bing</v>
  </rv>
  <rv s="1">
    <v>en-US</v>
    <v>a1vwxm</v>
    <v>268435456</v>
    <v>1</v>
    <v>Powered by Refinitiv</v>
    <v>0</v>
    <v>INVESCO LTD. (XNYS:IVZ)</v>
    <v>2</v>
    <v>3</v>
    <v>Finance</v>
    <v>4</v>
    <v>25.33</v>
    <v>13.2</v>
    <v>1.3472999999999999</v>
    <v>-0.58499999999999996</v>
    <v>-3.1536000000000002E-2</v>
    <v>USD</v>
    <v>Invesco Ltd. (Invesco) is an independent investment management firm. Invesco serves the retail and institutional markets within the investment management industry in the Americas, Europe, Middle East and Africa (EMEA) and Asia-Pacific in approximately 110 countries. It offers a range of investment strategies across asset classes, investment styles, and geographies. The Company's asset classes include money market, balanced, equity, fixed income and alternatives. Its asset management capabilities include mutual funds, exchange-traded funds (ETFs), separately managed accounts (SMAs), model portfolios, indexing and insurance solutions, individual savings accounts (ISA), investment companies with variable capital (ICVC), unit investment trusts (UIT), and variable insurance funds. Invesco's client base includes public and private entities, unions, non-profit organizations, endowments, foundations, pension funds, financial institutions and sovereign wealth funds.</v>
    <v>8621</v>
    <v>New York Stock Exchange</v>
    <v>XNYS</v>
    <v>XNYS</v>
    <v>SUITE 1800, 1555 PEACHTREE STREET NE, ATLANTA, GA, 30309 US</v>
    <v>18.350000000000001</v>
    <v>Investment Banking &amp; Investment Services</v>
    <v>Stock</v>
    <v>44917.737039015628</v>
    <v>1479</v>
    <v>17.962199999999999</v>
    <v>8170482000</v>
    <v>INVESCO LTD.</v>
    <v>INVESCO LTD.</v>
    <v>18.25</v>
    <v>9.2859999999999996</v>
    <v>18.55</v>
    <v>17.965</v>
    <v>454800000</v>
    <v>IVZ</v>
    <v>INVESCO LTD. (XNYS:IVZ)</v>
    <v>669176</v>
    <v>4194154</v>
    <v>2007</v>
  </rv>
  <rv s="2">
    <v>1480</v>
  </rv>
  <rv s="0">
    <v>https://www.bing.com/financeapi/forcetrigger?t=a1moa2&amp;q=XNAS%3aAAL&amp;form=skydnc</v>
    <v>Learn more on Bing</v>
  </rv>
  <rv s="1">
    <v>en-US</v>
    <v>a1moa2</v>
    <v>268435456</v>
    <v>1</v>
    <v>Powered by Refinitiv</v>
    <v>0</v>
    <v>AMERICAN AIRLINES GROUP INC. (XNAS:AAL)</v>
    <v>2</v>
    <v>3</v>
    <v>Finance</v>
    <v>4</v>
    <v>21.42</v>
    <v>11.651400000000001</v>
    <v>1.4695</v>
    <v>-0.78500000000000003</v>
    <v>-6.0246000000000001E-2</v>
    <v>USD</v>
    <v>American Airlines Group Inc. is a holding company. The Company's primary business activity is the operation of a network air carrier, providing scheduled air transportation for passengers and cargo. It operates through American segment, which provides air transportation for passengers and cargo. The Company together with its regional airline subsidiaries and third-party regional carriers operates under American Eagle brand,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Its subsidiaries include American Airlines, Inc., Envoy Aviation Group Inc., PSA Airlines, Inc. and Piedmont Airlines, Inc. Its cargo division provides a range of freight and mail services with facilities and interline connections available across the globe.</v>
    <v>123400</v>
    <v>Nasdaq Stock Market</v>
    <v>XNAS</v>
    <v>XNAS</v>
    <v>1 Skyview Drive, FORT WORTH, TX, 76155 US</v>
    <v>12.994999999999999</v>
    <v>Passenger Transportation Services</v>
    <v>Stock</v>
    <v>44917.73711591406</v>
    <v>1482</v>
    <v>12.24</v>
    <v>7958036520</v>
    <v>AMERICAN AIRLINES GROUP INC.</v>
    <v>AMERICAN AIRLINES GROUP INC.</v>
    <v>12.98</v>
    <v>3.3195999999999999</v>
    <v>13.03</v>
    <v>12.244999999999999</v>
    <v>649900900</v>
    <v>AAL</v>
    <v>AMERICAN AIRLINES GROUP INC. (XNAS:AAL)</v>
    <v>13381638</v>
    <v>25128536</v>
    <v>1982</v>
  </rv>
  <rv s="2">
    <v>1483</v>
  </rv>
  <rv s="0">
    <v>https://www.bing.com/financeapi/forcetrigger?t=ao6yc7&amp;q=XLON%3aCCL&amp;form=skydnc</v>
    <v>Learn more on Bing</v>
  </rv>
  <rv s="1">
    <v>en-US</v>
    <v>ao6yc7</v>
    <v>268435456</v>
    <v>1</v>
    <v>Powered by Refinitiv</v>
    <v>0</v>
    <v>CARNIVAL PLC (XLON:CCL)</v>
    <v>2</v>
    <v>15</v>
    <v>Finance</v>
    <v>16</v>
    <v>1604</v>
    <v>482.9</v>
    <v>2.9272999999999998</v>
    <v>-16.8873</v>
    <v>-2.7639E-2</v>
    <v>GBp</v>
    <v>Carnival PLC is a leisure travel company. The Company’s segments include North America and Australia (NAA) cruise operations, Europe and Asia (EA) cruise operations, Cruise Support and Tour and Other. The NAA cruise operations include Carnival Cruise Line, Princess Cruises, Holland America Line, P&amp;O Cruises (Australia), and Seabourn. The EA segment includes Costa Cruises (Costa), AIDA Cruises (AIDA), P&amp;O Cruises (UK) and Cunard. Its Cruise Support segment includes its portfolio of port destinations and other services, all of which are operated for the benefit of its cruise brands. The Tour and Other segment represents the hotel and transportation operations of Holland America Princess Alaska Tours and other operations. Holland America Princess Alaska Tours is a tour company in Alaska and the Canadian Yukon, which complements its Alaska cruise operations. The Company’s cruise line brands offer a range of vacation options for guests with a variety of leisure-time activities.</v>
    <v>39000</v>
    <v>London Stock Exchange</v>
    <v>XLON</v>
    <v>XLON</v>
    <v>Carnival House, 100 Harbour Parade, SOUTHAMPTON, HAMPSHIRE, SO15 1ST GB</v>
    <v>622</v>
    <v>Hotels &amp; Entertainment Services</v>
    <v>Stock</v>
    <v>44917.710190115627</v>
    <v>1485</v>
    <v>571.20000000000005</v>
    <v>8705823000</v>
    <v>CARNIVAL PLC</v>
    <v>CARNIVAL PLC</v>
    <v>611.6</v>
    <v>0</v>
    <v>611</v>
    <v>571.20000000000005</v>
    <v>1258285000</v>
    <v>CCL</v>
    <v>CARNIVAL PLC (XLON:CCL)</v>
    <v>1132288</v>
    <v>916010</v>
    <v>2000</v>
  </rv>
  <rv s="2">
    <v>1486</v>
  </rv>
  <rv s="0">
    <v>https://www.bing.com/financeapi/forcetrigger?t=a25afr&amp;q=XNYS%3aVFC&amp;form=skydnc</v>
    <v>Learn more on Bing</v>
  </rv>
  <rv s="1">
    <v>en-US</v>
    <v>a25afr</v>
    <v>268435456</v>
    <v>1</v>
    <v>Powered by Refinitiv</v>
    <v>0</v>
    <v>V.F. CORPORATION (XNYS:VFC)</v>
    <v>2</v>
    <v>3</v>
    <v>Finance</v>
    <v>4</v>
    <v>76.61</v>
    <v>25.05</v>
    <v>1.45</v>
    <v>0.25</v>
    <v>9.8189999999999996E-3</v>
    <v>USD</v>
    <v>V.F. Corporation is an apparel, footwear and accessories company. It owns a range of brands in the outerwear, footwear, apparel, backpacks, luggage, and accessories categories. Its brands include Vans, The North Face, Timberland, and Dickies. Its segments include Outdoor, Active, and Work. The Outdoor segment includes various brands, including The North Face, Smartwool, Icebreaker, and Altra. The Active segment includes a range of brands, such as Vans, Supreme, Napapijri, Kipling, Eastpak, and JanSport. The Work segment includes Dickies and Timberland PRO. Its products are marketed to consumers through our wholesale channel, primarily in specialty stores, national chains, mass merchants, department stores, independently-operated partnership stores, and with digital partners. Its products are also marketed to consumers through its own direct-to-consumer operations, which include VF-operated stores, concession retail stores, brand e-commerce sites, and other digital platforms.</v>
    <v>35000</v>
    <v>New York Stock Exchange</v>
    <v>XNYS</v>
    <v>XNYS</v>
    <v>1551 Wewatta Street, DENVER, CO, 80202 US</v>
    <v>25.95</v>
    <v>Textiles &amp; Apparel</v>
    <v>Stock</v>
    <v>44917.737106585155</v>
    <v>1488</v>
    <v>25.05</v>
    <v>9990034431</v>
    <v>V.F. CORPORATION</v>
    <v>V.F. CORPORATION</v>
    <v>25.204999999999998</v>
    <v>23.657800000000002</v>
    <v>25.46</v>
    <v>25.71</v>
    <v>388566100</v>
    <v>VFC</v>
    <v>V.F. CORPORATION (XNYS:VFC)</v>
    <v>3327573</v>
    <v>6821260</v>
    <v>1899</v>
  </rv>
  <rv s="2">
    <v>1489</v>
  </rv>
  <rv s="0">
    <v>https://www.bing.com/financeapi/forcetrigger?t=a21zf2&amp;q=XNYS%3aRHI&amp;form=skydnc</v>
    <v>Learn more on Bing</v>
  </rv>
  <rv s="1">
    <v>en-US</v>
    <v>a21zf2</v>
    <v>268435456</v>
    <v>1</v>
    <v>Powered by Refinitiv</v>
    <v>0</v>
    <v>ROBERT HALF INTERNATIONAL INC. (XNYS:RHI)</v>
    <v>2</v>
    <v>3</v>
    <v>Finance</v>
    <v>4</v>
    <v>125.77</v>
    <v>65.400000000000006</v>
    <v>1.2884</v>
    <v>-1.89</v>
    <v>-2.5834000000000003E-2</v>
    <v>USD</v>
    <v>Robert Half International Inc. provides specialized staffing and risk consulting services. The Company provides these services through its divisions, including Accountemps,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v>
    <v>14600</v>
    <v>New York Stock Exchange</v>
    <v>XNYS</v>
    <v>XNYS</v>
    <v>STE 200, 2884 SAND HILL RD, MENLO PARK, CA, 94025 US</v>
    <v>72.83</v>
    <v>Professional &amp; Commercial Services</v>
    <v>Stock</v>
    <v>44917.736960647657</v>
    <v>1491</v>
    <v>71.27</v>
    <v>7732688095</v>
    <v>ROBERT HALF INTERNATIONAL INC.</v>
    <v>ROBERT HALF INTERNATIONAL INC.</v>
    <v>72.239999999999995</v>
    <v>11.8629</v>
    <v>73.16</v>
    <v>71.27</v>
    <v>108498500</v>
    <v>RHI</v>
    <v>ROBERT HALF INTERNATIONAL INC. (XNYS:RHI)</v>
    <v>177126</v>
    <v>806073</v>
    <v>1979</v>
  </rv>
  <rv s="2">
    <v>1492</v>
  </rv>
  <rv s="0">
    <v>https://www.bing.com/financeapi/forcetrigger?t=a1qh3m&amp;q=XNYS%3aCTLT&amp;form=skydnc</v>
    <v>Learn more on Bing</v>
  </rv>
  <rv s="1">
    <v>en-US</v>
    <v>a1qh3m</v>
    <v>268435456</v>
    <v>1</v>
    <v>Powered by Refinitiv</v>
    <v>0</v>
    <v>Catalent, Inc. (XNYS:CTLT)</v>
    <v>2</v>
    <v>3</v>
    <v>Finance</v>
    <v>4</v>
    <v>129.72999999999999</v>
    <v>40.69</v>
    <v>1.2565999999999999</v>
    <v>-1.81</v>
    <v>-4.1657E-2</v>
    <v>USD</v>
    <v>Catalent, Inc. is a provider of development and manufacturing solutions for drug, cell and gene therapies biologics, vaccines, and consumer health products. The Company’s segments include Biologics, Softgel and Oral Technologies, Oral and Specialty Delivery, and Clinical Supply Services. Its Biologics segment provides development and manufacturing for protein, plasmid DNA mRNA, cell therapy, viral vaccines and viral-based gene therapies. Its Softgel and Oral Technologies segment provide formulation, development, and manufacturing services for soft capsules, as well as large-scale manufacturing of oral solid dose forms. Its Oral and Specialty Delivery segment provides formulation development and manufacturing across a range of technologies along with integrated downstream clinical development and commercial supply solutions. Its Clinical Supply Services segment provides manufacturing, packaging, storage, distribution, and inventory management for, drugs, biologics and clinical trials.</v>
    <v>19000</v>
    <v>New York Stock Exchange</v>
    <v>XNYS</v>
    <v>XNYS</v>
    <v>14 Schoolhouse Rd, SOMERSET, NJ, 08873-1213 US</v>
    <v>43.14</v>
    <v>Pharmaceuticals</v>
    <v>Stock</v>
    <v>44917.737026469535</v>
    <v>1494</v>
    <v>41.61</v>
    <v>7493684304</v>
    <v>Catalent, Inc.</v>
    <v>Catalent, Inc.</v>
    <v>43.14</v>
    <v>18.587599999999998</v>
    <v>43.45</v>
    <v>41.64</v>
    <v>179963600</v>
    <v>CTLT</v>
    <v>Catalent, Inc. (XNYS:CTLT)</v>
    <v>414340</v>
    <v>3511387</v>
    <v>2007</v>
  </rv>
  <rv s="2">
    <v>1495</v>
  </rv>
  <rv s="0">
    <v>https://www.bing.com/financeapi/forcetrigger?t=a25vnm&amp;q=XNYS%3aWHR&amp;form=skydnc</v>
    <v>Learn more on Bing</v>
  </rv>
  <rv s="1">
    <v>en-US</v>
    <v>a25vnm</v>
    <v>268435456</v>
    <v>1</v>
    <v>Powered by Refinitiv</v>
    <v>0</v>
    <v>WHIRLPOOL CORPORATION (XNYS:WHR)</v>
    <v>2</v>
    <v>3</v>
    <v>Finance</v>
    <v>4</v>
    <v>245.44</v>
    <v>124.43</v>
    <v>1.5038</v>
    <v>-3.95</v>
    <v>-2.7972999999999998E-2</v>
    <v>USD</v>
    <v>Whirlpool Corporation is a kitchen and laundry company. The Company’s segments include North America, which markets and distributes home appliances and other consumer products primarily under the Whirlpool, KitchenAid, Maytag, Amana, JennAir, Roper, Affresh, Swash, everydrop and Gladiato brand names primarily to retailers, distributors and builders, as well as directly to consumers; Europe, Middle East and Africa (EMEA), which markets and distributes its home appliances to retailers, distributors and directly to consumers under the Whirlpool, Indesit, Hotpoint, Bauknecht, Ignis, Maytag and Privileg brand names; Latin America, which produces markets and distributes its home appliances, small domestic appliances and other consumer products primarily under the Consul, Brastemp, Whirlpool, KitchenAid, Acros, Maytag and Eslabon de Lujo brand names, and Asia, which markets and distributes products under the Whirlpool, Maytag, KitchenAid, Ariston, Indesit, Bauknecht and Elica brand names.</v>
    <v>69000</v>
    <v>New York Stock Exchange</v>
    <v>XNYS</v>
    <v>XNYS</v>
    <v>Whirlpool Ctr 2000 M 63, BENTON HARBOR, MI, 49022-2692 US</v>
    <v>139.58670000000001</v>
    <v>Household Goods</v>
    <v>Stock</v>
    <v>44917.737073529686</v>
    <v>1497</v>
    <v>137.22</v>
    <v>7477698320</v>
    <v>WHIRLPOOL CORPORATION</v>
    <v>WHIRLPOOL CORPORATION</v>
    <v>139.47</v>
    <v>23.9833</v>
    <v>141.21</v>
    <v>137.26</v>
    <v>54478350</v>
    <v>WHR</v>
    <v>WHIRLPOOL CORPORATION (XNYS:WHR)</v>
    <v>303367</v>
    <v>648988</v>
    <v>1955</v>
  </rv>
  <rv s="2">
    <v>1498</v>
  </rv>
  <rv s="0">
    <v>https://www.bing.com/financeapi/forcetrigger?t=a1ypc7&amp;q=XNYS%3aNRG&amp;form=skydnc</v>
    <v>Learn more on Bing</v>
  </rv>
  <rv s="1">
    <v>en-US</v>
    <v>a1ypc7</v>
    <v>268435456</v>
    <v>1</v>
    <v>Powered by Refinitiv</v>
    <v>0</v>
    <v>NRG ENERGY, INC. (XNYS:NRG)</v>
    <v>2</v>
    <v>3</v>
    <v>Finance</v>
    <v>4</v>
    <v>47.82</v>
    <v>30.64</v>
    <v>0.90249999999999997</v>
    <v>-0.93500000000000005</v>
    <v>-2.8839999999999998E-2</v>
    <v>USD</v>
    <v>NRG Energy, Inc. is a consumer services company, which is engaged in producing and selling energy and related products and services, nationwide in the United States and Canada. The Company sells power, natural gas, and home and power services; and develops sustainable solutions under the brand names NRG, Reliant, Direct Energy, Green Mountain Energy, Stream and XOOM Energy. The Company has a customer base, which includes approximately six million Home customers, as well as commercial, industrial and wholesale customers, supported by approximately 18,000 megawatt (MW) of generation. The Company operates through four segments: Texas, East, West/Services/Other and Corporate activities. Texas segment includes all activity related to customer, plant and market operations in Texas. East segment includes all activity related to customer, plant and market operations in the East. West/Services/Other segment includes the assets and activities. Corporate activities segment.</v>
    <v>6635</v>
    <v>New York Stock Exchange</v>
    <v>XNYS</v>
    <v>XNYS</v>
    <v>910 Louisiana Street, HOUSTON, TX, 77002 US</v>
    <v>32.155000000000001</v>
    <v>Electrical Utilities &amp; IPPs</v>
    <v>Stock</v>
    <v>44917.737087835158</v>
    <v>1500</v>
    <v>31.47</v>
    <v>7253646537</v>
    <v>NRG ENERGY, INC.</v>
    <v>NRG ENERGY, INC.</v>
    <v>32.03</v>
    <v>4.1139999999999999</v>
    <v>32.42</v>
    <v>31.484999999999999</v>
    <v>230384200</v>
    <v>NRG</v>
    <v>NRG ENERGY, INC. (XNYS:NRG)</v>
    <v>758325</v>
    <v>4824709</v>
    <v>1992</v>
  </rv>
  <rv s="2">
    <v>1501</v>
  </rv>
  <rv s="0">
    <v>https://www.bing.com/financeapi/forcetrigger?t=a1tctc&amp;q=XNYS%3aFRT&amp;form=skydnc</v>
    <v>Learn more on Bing</v>
  </rv>
  <rv s="1">
    <v>en-US</v>
    <v>a1tctc</v>
    <v>268435456</v>
    <v>1</v>
    <v>Powered by Refinitiv</v>
    <v>0</v>
    <v>FEDERAL REALTY INVESTMENT TRUST (XNYS:FRT)</v>
    <v>2</v>
    <v>3</v>
    <v>Finance</v>
    <v>4</v>
    <v>140.51</v>
    <v>86.43</v>
    <v>1.1664000000000001</v>
    <v>-1.73</v>
    <v>-1.7000999999999999E-2</v>
    <v>USD</v>
    <v>Federal Realty Investment Trust is an equity real estate investment trust (REIT). The Company specializes in ownership, management, and redevelopment of retail and mixed-use properties located primarily in communities in metropolitan markets in the Northeast and Mid-Atlantic regions of the United States, California, and South Florida. The Company owns or has interest in community and neighborhood shopping centers and mixed-use properties, which are operates as 104 retail real estate projects comprising approximately 25.1 million square feet. The Company’s portfolio includes retail in many formats ranging from regional, community and neighborhood shopping centers that are anchored by grocery stores to mixed-use properties that are typically centered around a retail component but also include office, residential and/or hotel components. It has approximately 104 properties, which includes approximately 3,100 tenants, in 25 million square feet, and approximately 3,400 residential units.</v>
    <v>310</v>
    <v>New York Stock Exchange</v>
    <v>XNYS</v>
    <v>XNYS</v>
    <v>909 Rose Avenue, Suite 200, NORTH BETHESDA, MD, 20852 US</v>
    <v>101.38500000000001</v>
    <v>Residential &amp; Commercial REIT</v>
    <v>Stock</v>
    <v>44917.736555751566</v>
    <v>1503</v>
    <v>100.03</v>
    <v>8123384284</v>
    <v>FEDERAL REALTY INVESTMENT TRUST</v>
    <v>FEDERAL REALTY INVESTMENT TRUST</v>
    <v>101.17</v>
    <v>21.5761</v>
    <v>101.76</v>
    <v>100.03</v>
    <v>81209480</v>
    <v>FRT</v>
    <v>FEDERAL REALTY INVESTMENT TRUST (XNYS:FRT)</v>
    <v>88315</v>
    <v>499662</v>
    <v>2021</v>
  </rv>
  <rv s="2">
    <v>1504</v>
  </rv>
  <rv s="8">
    <v>12</v>
    <v>Industry</v>
    <v>0</v>
  </rv>
  <rv s="8">
    <v>12</v>
    <v>P/E</v>
    <v>0</v>
  </rv>
  <rv s="8">
    <v>12</v>
    <v>Market cap</v>
    <v>0</v>
  </rv>
  <rv s="0">
    <v>https://www.bing.com/financeapi/forcetrigger?t=a1ug1h&amp;q=XNAS%3aHAS&amp;form=skydnc</v>
    <v>Learn more on Bing</v>
  </rv>
  <rv s="1">
    <v>en-US</v>
    <v>a1ug1h</v>
    <v>268435456</v>
    <v>1</v>
    <v>Powered by Refinitiv</v>
    <v>0</v>
    <v>Hasbro, Inc. (XNAS:HAS)</v>
    <v>2</v>
    <v>3</v>
    <v>Finance</v>
    <v>4</v>
    <v>105.73</v>
    <v>54.65</v>
    <v>0.76229999999999998</v>
    <v>-1.7</v>
    <v>-2.9463E-2</v>
    <v>USD</v>
    <v>Hasbro, Inc. (Hasbro) is a global play and entertainment company. Hasbro operates through three segments: Consumer Products, Wizards of the Coast and Digital Gaming, and Entertainment. Consumer Products is engaged in the sourcing, marketing, and sales of toy and game products around the world. The Wizards of the Coast and Digital Gaming is engaged in the promotion of its brands through the development of trading cards, role-playing, and digital game experiences based on Hasbro and Wizards of the Coast properties. The Entertainment is engaged in the development, acquisition, production, distribution, and sale of entertainment content including film, scripted and unscripted television, children's programming, digital content, and live entertainment. Hasbro's portfolio of brands includes MAGIC: THE GATHERING, NERF, MY LITTLE PONY, TRANSFORMERS, PLAY-DOH, MONOPOLY, BABY ALIVE, DUNGEONS &amp; DRAGONS, POWER RANGERS, PEPPA PIG and PJ MASKS, as well as premier partner brands.</v>
    <v>6640</v>
    <v>Nasdaq Stock Market</v>
    <v>XNAS</v>
    <v>XNAS</v>
    <v>1027 Newport Ave, PO Box 1059, PAWTUCKET, RI, 02861-2539 US</v>
    <v>57.77</v>
    <v>Leisure Products</v>
    <v>Stock</v>
    <v>44917.737121203128</v>
    <v>1509</v>
    <v>55.84</v>
    <v>7734367200</v>
    <v>Hasbro, Inc.</v>
    <v>Hasbro, Inc.</v>
    <v>57.13</v>
    <v>19.336400000000001</v>
    <v>57.7</v>
    <v>56</v>
    <v>138113700</v>
    <v>HAS</v>
    <v>Hasbro, Inc. (XNAS:HAS)</v>
    <v>719035</v>
    <v>1810302</v>
    <v>1926</v>
  </rv>
  <rv s="2">
    <v>1510</v>
  </rv>
  <rv s="0">
    <v>https://www.bing.com/financeapi/forcetrigger?t=a1nkm7&amp;q=XNYS%3aAOS&amp;form=skydnc</v>
    <v>Learn more on Bing</v>
  </rv>
  <rv s="1">
    <v>en-US</v>
    <v>a1nkm7</v>
    <v>268435456</v>
    <v>1</v>
    <v>Powered by Refinitiv</v>
    <v>0</v>
    <v>A. O. SMITH CORPORATION (XNYS:AOS)</v>
    <v>2</v>
    <v>3</v>
    <v>Finance</v>
    <v>4</v>
    <v>86.736999999999995</v>
    <v>46.58</v>
    <v>1.2305999999999999</v>
    <v>-1.59</v>
    <v>-2.7778000000000001E-2</v>
    <v>USD</v>
    <v>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Water-Right, and Master Water, which are sold through water quality dealers.</v>
    <v>13700</v>
    <v>New York Stock Exchange</v>
    <v>XNYS</v>
    <v>XNYS</v>
    <v>11270 W Park Pl, MILWAUKEE, WI, 53224-3623 US</v>
    <v>56.95</v>
    <v>Machinery, Equipment &amp; Components</v>
    <v>Stock</v>
    <v>44917.737105358596</v>
    <v>1512</v>
    <v>55.61</v>
    <v>8501956575</v>
    <v>A. O. SMITH CORPORATION</v>
    <v>A. O. SMITH CORPORATION</v>
    <v>56.95</v>
    <v>18.198</v>
    <v>57.24</v>
    <v>55.65</v>
    <v>152775500</v>
    <v>AOS</v>
    <v>A. O. SMITH CORPORATION (XNYS:AOS)</v>
    <v>232542</v>
    <v>1081409</v>
    <v>1986</v>
  </rv>
  <rv s="2">
    <v>1513</v>
  </rv>
  <rv s="0">
    <v>https://www.bing.com/financeapi/forcetrigger?t=a1odgh&amp;q=XNYS%3aBEN&amp;form=skydnc</v>
    <v>Learn more on Bing</v>
  </rv>
  <rv s="1">
    <v>en-US</v>
    <v>a1odgh</v>
    <v>268435456</v>
    <v>1</v>
    <v>Powered by Refinitiv</v>
    <v>0</v>
    <v>FRANKLIN RESOURCES, INC. (XNYS:BEN)</v>
    <v>2</v>
    <v>3</v>
    <v>Finance</v>
    <v>4</v>
    <v>36.450000000000003</v>
    <v>20.237300000000001</v>
    <v>1.2405999999999999</v>
    <v>-0.93500000000000005</v>
    <v>-3.4744999999999998E-2</v>
    <v>USD</v>
    <v>Franklin Resources, Inc. is a holding company with subsidiaries operating under its Franklin Templeton and/or subsidiary brand names. The Company delivers its investment capabilities through a variety of investment products, which include its sponsored funds, as well as institutional and high-net-worth separate accounts, retail separately managed account programs, sub-advised products, and other investment vehicles. In addition to investment management, its services include fund administration, sales and distribution, and shareholder servicing. It offers a broad product mix of fixed income, equity, alternative, multi-asset and cash management asset classes and solutions that meet a variety of investment goals and needs for individual and institutional investors. The Company also provides sub-advisory services to certain investment products sponsored by other companies. The Company has an interest in BNY Alcentra Group Holdings, Inc.</v>
    <v>9800</v>
    <v>New York Stock Exchange</v>
    <v>XNYS</v>
    <v>XNYS</v>
    <v>Building 920, One Franklin Parkway, SAN MATEO, CA, 94403 US</v>
    <v>26.75</v>
    <v>Investment Banking &amp; Investment Services</v>
    <v>Stock</v>
    <v>44917.737115890624</v>
    <v>1515</v>
    <v>25.97</v>
    <v>12976034635</v>
    <v>FRANKLIN RESOURCES, INC.</v>
    <v>FRANKLIN RESOURCES, INC.</v>
    <v>26.61</v>
    <v>10.643599999999999</v>
    <v>26.91</v>
    <v>25.975000000000001</v>
    <v>499558600</v>
    <v>BEN</v>
    <v>FRANKLIN RESOURCES, INC. (XNYS:BEN)</v>
    <v>617245</v>
    <v>3081261</v>
    <v>1969</v>
  </rv>
  <rv s="2">
    <v>1516</v>
  </rv>
  <rv s="0">
    <v>https://www.bing.com/financeapi/forcetrigger?t=a212zr&amp;q=XNYS%3aPNR&amp;form=skydnc</v>
    <v>Learn more on Bing</v>
  </rv>
  <rv s="1">
    <v>en-US</v>
    <v>a212zr</v>
    <v>268435456</v>
    <v>1</v>
    <v>Powered by Refinitiv</v>
    <v>0</v>
    <v>PENTAIR PUBLIC LIMITED COMPANY (XNYS:PNR)</v>
    <v>2</v>
    <v>3</v>
    <v>Finance</v>
    <v>4</v>
    <v>73.62</v>
    <v>38.549999999999997</v>
    <v>1.0657000000000001</v>
    <v>-1.01</v>
    <v>-2.2671E-2</v>
    <v>USD</v>
    <v>Pentair plc is engaged in delivering water solutions to homes, businesses, and industries around the world. Its segments include Consumer Solutions and Industrial &amp; Flow Technologies. The Consumer Solutions segment designs, manufactures and sells energy-efficient residential and commercial pool equipment and accessories, and commercial and residential water treatment products and systems. Residential and commercial pool equipment and accessories include pumps, filters, heaters, lights, and automatic controls. Water treatment products and systems include pressure tanks, control valves, activated carbon products, and conventional filtration products. The Industrial &amp; Flow Technologies segment manufactures and sells a variety of fluid treatment and pump products and systems, including pressure vessels, gas recovery solutions, membrane bioreactors, separation systems, water disposal pumps, water supply pumps, fluid transfer pumps, solid handling pumps, and agricultural spray nozzles.</v>
    <v>11250</v>
    <v>New York Stock Exchange</v>
    <v>XNYS</v>
    <v>XNYS</v>
    <v>Regal House, 70 London Road, Twickenham, LONDON, UNITED KINGDOM-NA, TW1 3QS GB</v>
    <v>44.465000000000003</v>
    <v>Machinery, Equipment &amp; Components</v>
    <v>Stock</v>
    <v>44917.737014872655</v>
    <v>1518</v>
    <v>43.5</v>
    <v>7162260336</v>
    <v>PENTAIR PUBLIC LIMITED COMPANY</v>
    <v>PENTAIR PUBLIC LIMITED COMPANY</v>
    <v>44.07</v>
    <v>13.813599999999999</v>
    <v>44.55</v>
    <v>43.54</v>
    <v>164498400</v>
    <v>PNR</v>
    <v>PENTAIR PUBLIC LIMITED COMPANY (XNYS:PNR)</v>
    <v>292830</v>
    <v>1230500</v>
    <v>2013</v>
  </rv>
  <rv s="2">
    <v>1519</v>
  </rv>
  <rv s="0">
    <v>https://www.bing.com/financeapi/forcetrigger?t=a22ja2&amp;q=XNAS%3aSBNY&amp;form=skydnc</v>
    <v>Learn more on Bing</v>
  </rv>
  <rv s="7">
    <v>en-US</v>
    <v>a22ja2</v>
    <v>268435456</v>
    <v>1</v>
    <v>Powered by Refinitiv</v>
    <v>13</v>
    <v>Signature Bank (XNAS:SBNY)</v>
    <v>2</v>
    <v>14</v>
    <v>Finance</v>
    <v>4</v>
    <v>374.76</v>
    <v>111.03</v>
    <v>1.6431</v>
    <v>-4.03</v>
    <v>-3.4970000000000001E-2</v>
    <v>USD</v>
    <v>Signature Bank is a full-service commercial bank with over 38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v>
    <v>1854</v>
    <v>Nasdaq Stock Market</v>
    <v>XNAS</v>
    <v>XNAS</v>
    <v>565 Fifth Avenue, NEW YORK, NY, 10017 US</v>
    <v>113.73</v>
    <v>Banking Services</v>
    <v>Stock</v>
    <v>44917.737087916408</v>
    <v>1521</v>
    <v>111.03</v>
    <v>6998326305</v>
    <v>Signature Bank</v>
    <v>Signature Bank</v>
    <v>113.73</v>
    <v>5.6300999999999997</v>
    <v>115.24</v>
    <v>111.21</v>
    <v>62928930</v>
    <v>SBNY</v>
    <v>Signature Bank (XNAS:SBNY)</v>
    <v>412472</v>
    <v>1164150</v>
  </rv>
  <rv s="2">
    <v>1522</v>
  </rv>
  <rv s="0">
    <v>https://www.bing.com/financeapi/forcetrigger?t=a26gnm&amp;q=XNAS%3aZION&amp;form=skydnc</v>
    <v>Learn more on Bing</v>
  </rv>
  <rv s="7">
    <v>en-US</v>
    <v>a26gnm</v>
    <v>268435456</v>
    <v>1</v>
    <v>Powered by Refinitiv</v>
    <v>13</v>
    <v>ZIONS BANCORPORATION, NATIONAL ASSOCIATION (XNAS:ZION)</v>
    <v>2</v>
    <v>14</v>
    <v>Finance</v>
    <v>4</v>
    <v>75.44</v>
    <v>45.21</v>
    <v>1.1608000000000001</v>
    <v>-0.47</v>
    <v>-9.8799999999999999E-3</v>
    <v>USD</v>
    <v>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through its approximately 418 branches in the states of Arizona, California, Colorado, Idaho, Nevada, New Mexico, Oregon, Texas, Utah, Washington, and Wyoming.</v>
    <v>9685</v>
    <v>Nasdaq Stock Market</v>
    <v>XNAS</v>
    <v>XNAS</v>
    <v>One South Main St, 17Th Fl, SALT LAKE CITY, UT, 84133 US</v>
    <v>47.414999999999999</v>
    <v>Banking Services</v>
    <v>Stock</v>
    <v>44917.73701146953</v>
    <v>1524</v>
    <v>46.98</v>
    <v>7117316000</v>
    <v>ZIONS BANCORPORATION, NATIONAL ASSOCIATION</v>
    <v>ZIONS BANCORPORATION, NATIONAL ASSOCIATION</v>
    <v>47.26</v>
    <v>8.9986999999999995</v>
    <v>47.57</v>
    <v>47.1</v>
    <v>149617800</v>
    <v>ZION</v>
    <v>ZIONS BANCORPORATION, NATIONAL ASSOCIATION (XNAS:ZION)</v>
    <v>531975</v>
    <v>1399689</v>
  </rv>
  <rv s="2">
    <v>1525</v>
  </rv>
  <rv s="0">
    <v>https://www.bing.com/financeapi/forcetrigger?t=c24xbh&amp;q=XNYS%3aOGN&amp;form=skydnc</v>
    <v>Learn more on Bing</v>
  </rv>
  <rv s="1">
    <v>en-US</v>
    <v>c24xbh</v>
    <v>268435456</v>
    <v>1</v>
    <v>Powered by Refinitiv</v>
    <v>0</v>
    <v>ORGANON &amp; CO. (XNYS:OGN)</v>
    <v>2</v>
    <v>3</v>
    <v>Finance</v>
    <v>4</v>
    <v>39.475000000000001</v>
    <v>22.88</v>
    <v>0.75800000000000001</v>
    <v>-0.51</v>
    <v>-1.8352E-2</v>
    <v>USD</v>
    <v>Organon &amp; Co. (Organon) is a global healthcare company. The Company is engaged in developing and delivering health solutions through a portfolio of prescription therapies within women’s health, biosimilars and established brands. Organon has a portfolio of contraception and fertility brands, such as Nexplanon or Implanon NXT, which is a patented long-acting reversible contraceptive. The Company’s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v>
    <v>9300</v>
    <v>New York Stock Exchange</v>
    <v>XNYS</v>
    <v>XNYS</v>
    <v>30 Hudson Street, Fl 33, JERSEY CITY, NJ, 07302 US</v>
    <v>27.77</v>
    <v>Pharmaceuticals</v>
    <v>Stock</v>
    <v>44917.737039837499</v>
    <v>1527</v>
    <v>27.2544</v>
    <v>6939060832</v>
    <v>ORGANON &amp; CO.</v>
    <v>ORGANON &amp; CO.</v>
    <v>27.55</v>
    <v>7.0098000000000003</v>
    <v>27.79</v>
    <v>27.28</v>
    <v>254364400</v>
    <v>OGN</v>
    <v>ORGANON &amp; CO. (XNYS:OGN)</v>
    <v>320610</v>
    <v>2001826</v>
    <v>2021</v>
  </rv>
  <rv s="2">
    <v>1528</v>
  </rv>
  <rv s="0">
    <v>https://www.bing.com/financeapi/forcetrigger?t=a1yx9c&amp;q=XNAS%3aNWSA&amp;form=skydnc</v>
    <v>Learn more on Bing</v>
  </rv>
  <rv s="1">
    <v>en-US</v>
    <v>a1yx9c</v>
    <v>268435456</v>
    <v>1</v>
    <v>Powered by Refinitiv</v>
    <v>0</v>
    <v>NEWS CORPORATION (XNAS:NWSA)</v>
    <v>2</v>
    <v>3</v>
    <v>Finance</v>
    <v>4</v>
    <v>23.73</v>
    <v>14.87</v>
    <v>1.2961</v>
    <v>-0.15</v>
    <v>-8.4600000000000005E-3</v>
    <v>USD</v>
    <v>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v>
    <v>25500</v>
    <v>Nasdaq Stock Market</v>
    <v>XNAS</v>
    <v>XNAS</v>
    <v>1211 Avenue of the Americas, NEW YORK, NY, 10036 US</v>
    <v>17.72</v>
    <v>Media &amp; Publishing</v>
    <v>Stock</v>
    <v>44917.737094941403</v>
    <v>1530</v>
    <v>17.495000000000001</v>
    <v>10252270000</v>
    <v>NEWS CORPORATION</v>
    <v>NEWS CORPORATION</v>
    <v>17.55</v>
    <v>22.294</v>
    <v>17.73</v>
    <v>17.579999999999998</v>
    <v>575627800</v>
    <v>NWSA</v>
    <v>NEWS CORPORATION (XNAS:NWSA)</v>
    <v>449476</v>
    <v>2360291</v>
    <v>2012</v>
  </rv>
  <rv s="2">
    <v>1531</v>
  </rv>
  <rv s="0">
    <v>https://www.bing.com/financeapi/forcetrigger?t=a26adm&amp;q=XNAS%3aXRAY&amp;form=skydnc</v>
    <v>Learn more on Bing</v>
  </rv>
  <rv s="1">
    <v>en-US</v>
    <v>a26adm</v>
    <v>268435456</v>
    <v>1</v>
    <v>Powered by Refinitiv</v>
    <v>0</v>
    <v>DENTSPLY SIRONA INC. (XNAS:XRAY)</v>
    <v>2</v>
    <v>3</v>
    <v>Finance</v>
    <v>4</v>
    <v>58.7</v>
    <v>26.48</v>
    <v>0.89700000000000002</v>
    <v>-0.57499999999999996</v>
    <v>-1.8352999999999998E-2</v>
    <v>USD</v>
    <v>DENTSPLY SIRONA Inc. is a manufacturer of professional dental products and technologies. The Company develops, manufactures and markets solutions, including dental equipment and dental consumable products. The Company’s segments include Technologies &amp; Equipment (T&amp;E) and Consumables. The T&amp;E segment is engaged in designing, manufacturing, sales and distribution of its Dental Technology and Equipment Products and Healthcare Consumable Products. Its products include dental implants, computer-aided design/computer-aided manufacturing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v>
    <v>15000</v>
    <v>Nasdaq Stock Market</v>
    <v>XNAS</v>
    <v>XNAS</v>
    <v>Suite 60W, 221 West Philadelphia Street, YORK, PA, 28277-3607 US</v>
    <v>31.22</v>
    <v>Healthcare Equipment &amp; Supplies</v>
    <v>Stock</v>
    <v>44917.737106573441</v>
    <v>1533</v>
    <v>30.73</v>
    <v>6609615484</v>
    <v>DENTSPLY SIRONA INC.</v>
    <v>DENTSPLY SIRONA INC.</v>
    <v>31.16</v>
    <v>19.718499999999999</v>
    <v>31.33</v>
    <v>30.754999999999999</v>
    <v>214911900</v>
    <v>XRAY</v>
    <v>DENTSPLY SIRONA INC. (XNAS:XRAY)</v>
    <v>600196</v>
    <v>2040374</v>
    <v>1983</v>
  </rv>
  <rv s="2">
    <v>1534</v>
  </rv>
  <rv s="0">
    <v>https://www.bing.com/financeapi/forcetrigger?t=a1n7mw&amp;q=XNYS%3aAIZ&amp;form=skydnc</v>
    <v>Learn more on Bing</v>
  </rv>
  <rv s="1">
    <v>en-US</v>
    <v>a1n7mw</v>
    <v>268435456</v>
    <v>1</v>
    <v>Powered by Refinitiv</v>
    <v>0</v>
    <v>ASSURANT, INC. (XNYS:AIZ)</v>
    <v>2</v>
    <v>3</v>
    <v>Finance</v>
    <v>4</v>
    <v>194.12</v>
    <v>119.01</v>
    <v>0.50470000000000004</v>
    <v>-1.3</v>
    <v>-1.0524E-2</v>
    <v>USD</v>
    <v>Assurant, Inc. is a global provider of lifestyle and housing solutions that support, protect and connect major consumer purchases. The Company operates in North America, Latin America, Europe and Asia Pacific through two segments: Global Lifestyle and Global Housing. The Global Lifestyle segment provides mobile device solutions and extended service products and related services for mobile devices, consumer electronics and appliances (Connected Living); vehicle protection and related services (Global Automotive); and credit protection and other insurance products (Global Financial Services and Other). The Global Housing segment provides lender-placed homeowners insurance, lender-placed manufactured housing insurance and lender-placed flood insurance (Lender-placed Insurance); renters insurance and related products (Multifamily Housing); and voluntary manufactured housing insurance, voluntary homeowners insurance and other specialty products (Specialty and Other).</v>
    <v>15600</v>
    <v>New York Stock Exchange</v>
    <v>XNYS</v>
    <v>XNYS</v>
    <v>55 Broadway, Suite 2901, NEW YORK, NY, 10006 US</v>
    <v>123.99</v>
    <v>Insurance</v>
    <v>Stock</v>
    <v>44917.736757267972</v>
    <v>1536</v>
    <v>121.845</v>
    <v>6457585688</v>
    <v>ASSURANT, INC.</v>
    <v>ASSURANT, INC.</v>
    <v>122.23</v>
    <v>20.714400000000001</v>
    <v>123.53</v>
    <v>122.23</v>
    <v>52831430</v>
    <v>AIZ</v>
    <v>ASSURANT, INC. (XNYS:AIZ)</v>
    <v>105787</v>
    <v>629912</v>
    <v>2003</v>
  </rv>
  <rv s="2">
    <v>1537</v>
  </rv>
  <rv s="0">
    <v>https://www.bing.com/financeapi/forcetrigger?t=a1rgur&amp;q=XNYS%3aDXC&amp;form=skydnc</v>
    <v>Learn more on Bing</v>
  </rv>
  <rv s="1">
    <v>en-US</v>
    <v>a1rgur</v>
    <v>268435456</v>
    <v>1</v>
    <v>Powered by Refinitiv</v>
    <v>0</v>
    <v>DXC TECHNOLOGY COMPANY (XNYS:DXC)</v>
    <v>2</v>
    <v>3</v>
    <v>Finance</v>
    <v>4</v>
    <v>39.65</v>
    <v>22.65</v>
    <v>1.9357</v>
    <v>-0.91500000000000004</v>
    <v>-3.4155000000000005E-2</v>
    <v>USD</v>
    <v>DXC Technology Company is a global information technology (IT) services company. The Company helps global companies run their mission-critical systems and operations while modernizing IT, optimizing data architectures, and ensuring security and scalability across public, private and hybrid clouds. Its segments include Global Business Services (GBS) and Global Infrastructure Services (GIS). The GBS segment provides technology solutions that help its customers address their business challenges and accelerate transformations adjusted to each customers industry and specific objectives. GBS offerings include analytics and engineering, applications, and business process services. The GIS segment provides a portfolio of technology offerings that deliver predictable outcomes and measurable results while reducing business risk and operational costs for customers. GIS offerings include cloud and security, IT outsourcing (ITO) and modern workplaces.</v>
    <v>130000</v>
    <v>New York Stock Exchange</v>
    <v>XNYS</v>
    <v>XNYS</v>
    <v>20408 Bashan Drive, Suite 231, ASHBURN, VA, 20147 US</v>
    <v>26.5</v>
    <v>Software &amp; IT Services</v>
    <v>Stock</v>
    <v>44917.737004571092</v>
    <v>1539</v>
    <v>25.87</v>
    <v>5952937050</v>
    <v>DXC TECHNOLOGY COMPANY</v>
    <v>DXC TECHNOLOGY COMPANY</v>
    <v>26.47</v>
    <v>8.7361000000000004</v>
    <v>26.79</v>
    <v>25.875</v>
    <v>230065200</v>
    <v>DXC</v>
    <v>DXC TECHNOLOGY COMPANY (XNYS:DXC)</v>
    <v>201679</v>
    <v>1612540</v>
    <v>2017</v>
  </rv>
  <rv s="2">
    <v>1540</v>
  </rv>
  <rv s="0">
    <v>https://www.bing.com/financeapi/forcetrigger?t=a1u1z2&amp;q=XNYS%3aGNRC&amp;form=skydnc</v>
    <v>Learn more on Bing</v>
  </rv>
  <rv s="1">
    <v>en-US</v>
    <v>a1u1z2</v>
    <v>268435456</v>
    <v>1</v>
    <v>Powered by Refinitiv</v>
    <v>0</v>
    <v>GENERAC HOLDINGS INC. (XNYS:GNRC)</v>
    <v>2</v>
    <v>3</v>
    <v>Finance</v>
    <v>4</v>
    <v>357.15</v>
    <v>86.29</v>
    <v>1.1637999999999999</v>
    <v>-4.95</v>
    <v>-5.3758E-2</v>
    <v>USD</v>
    <v>Generac Holdings Inc. is an energy technology solutions company. It is engaged in providing power grid software solutions, backup, and prime power systems for home and industrial applications, solar + battery storage solutions, virtual power plant platforms, and engine- and battery-powered tools and equipment. Its segments include Domestic and International. The Domestic segment includes the Generac business and the acquisitions that are based in the United States and Canada. The International segment includes Generac business' Latin American export operations, and the Ottomotores, Tower Light, Pramac, Motortech, Selmec, Deep Sea, and Off Grid Energy acquisitions. It designs and manufactures stationary, portable and mobile generators with single-engine outputs ranging between 800 watts and 3,250 kilowatts. It has developed a line of turn-key energy storage systems for use in residential solar-plus-storage applications. It also offers industrial-grade mobile energy storage systems.</v>
    <v>8955</v>
    <v>New York Stock Exchange</v>
    <v>XNYS</v>
    <v>XNYS</v>
    <v>S45 W29290 HIGHWAY 59, WAUKESHA, WI, 53187 US</v>
    <v>91.06</v>
    <v>Machinery, Equipment &amp; Components</v>
    <v>Stock</v>
    <v>44917.737056724218</v>
    <v>1542</v>
    <v>86.29</v>
    <v>5520243132</v>
    <v>GENERAC HOLDINGS INC.</v>
    <v>GENERAC HOLDINGS INC.</v>
    <v>90.74</v>
    <v>13.87</v>
    <v>92.08</v>
    <v>87.13</v>
    <v>63356400</v>
    <v>GNRC</v>
    <v>GENERAC HOLDINGS INC. (XNYS:GNRC)</v>
    <v>945516</v>
    <v>1835540</v>
    <v>2006</v>
  </rv>
  <rv s="2">
    <v>1543</v>
  </rv>
  <rv s="0">
    <v>https://www.bing.com/financeapi/forcetrigger?t=axxudm&amp;q=XNYS%3aNCLH&amp;form=skydnc</v>
    <v>Learn more on Bing</v>
  </rv>
  <rv s="1">
    <v>en-US</v>
    <v>axxudm</v>
    <v>268435456</v>
    <v>1</v>
    <v>Powered by Refinitiv</v>
    <v>0</v>
    <v>NORWEGIAN CRUISE LINE HOLDINGS LTD. (XNYS:NCLH)</v>
    <v>2</v>
    <v>3</v>
    <v>Finance</v>
    <v>4</v>
    <v>23.9</v>
    <v>10.31</v>
    <v>2.4502000000000002</v>
    <v>-0.95</v>
    <v>-6.9091E-2</v>
    <v>USD</v>
    <v>Norwegian Cruise Line Holdings Ltd. is a global cruise company. The Company operates the Norwegian Cruise Line, Oceania Cruises and Regent Seven Seas Cruises brands. The Company has approximately 28 ships with 59,150 Berths. The Company's brands offer itineraries to various destinations, including Europe, Asia, Australia, New Zealand, South America, Africa, Canada, Bermuda, Caribbean, Alaska and Hawaii. Its brands offer various features, amenities, and activities, including various accommodations, multiple dining venues, bars and lounges, spa, casino and retail shopping areas and various entertainment choices. The Company's Norwegian ships offers up to 28 dining options. Its Oceania Cruises offers onboard dining, along with multiple open seating dining venues Its Regent offerings include business class air on intercontinental flights, shore excursions, pre-cruise hotel stays, specialty restaurants, spirits and fine wines, gratuities, wireless fidelity (Wi-Fi) and other amenities.</v>
    <v>34700</v>
    <v>New York Stock Exchange</v>
    <v>XNYS</v>
    <v>XNYS</v>
    <v>7665 CORPORATE DRIVE, MIAMI, FL, 33126 US</v>
    <v>13.64</v>
    <v>Hotels &amp; Entertainment Services</v>
    <v>Stock</v>
    <v>44917.737107615627</v>
    <v>1545</v>
    <v>12.79</v>
    <v>5393870080</v>
    <v>NORWEGIAN CRUISE LINE HOLDINGS LTD.</v>
    <v>NORWEGIAN CRUISE LINE HOLDINGS LTD.</v>
    <v>13.58</v>
    <v>0</v>
    <v>13.75</v>
    <v>12.8</v>
    <v>421396100</v>
    <v>NCLH</v>
    <v>NORWEGIAN CRUISE LINE HOLDINGS LTD. (XNYS:NCLH)</v>
    <v>7345098</v>
    <v>12256162</v>
    <v>2011</v>
  </rv>
  <rv s="2">
    <v>1546</v>
  </rv>
  <rv s="0">
    <v>https://www.bing.com/financeapi/forcetrigger?t=a1nahw&amp;q=XNYS%3aALK&amp;form=skydnc</v>
    <v>Learn more on Bing</v>
  </rv>
  <rv s="1">
    <v>en-US</v>
    <v>a1nahw</v>
    <v>268435456</v>
    <v>1</v>
    <v>Powered by Refinitiv</v>
    <v>0</v>
    <v>ALASKA AIR GROUP, INC. (XNYS:ALK)</v>
    <v>2</v>
    <v>3</v>
    <v>Finance</v>
    <v>4</v>
    <v>61.55</v>
    <v>38.185000000000002</v>
    <v>1.4337</v>
    <v>-1.62</v>
    <v>-3.6935999999999997E-2</v>
    <v>USD</v>
    <v>Alaska Air Group, Inc. is engaged in operating airlines. The Company operates two airlines, Alaska and Horizon. The Company also includes McGee Air Services, an aviation services provider. The Company operates through three segments: Mainline, Regional and Horizon. The Mainline segment includes scheduled air transportation on Alaska's Boeing or Airbus jet aircraft for passengers and cargo throughout the U.S., and in parts of Canada, Mexico, Costa Rica, and Belize. The Regional segment includes Horizon's and other third-party carriers scheduled air transportation for passengers across a shorter distance network within the United States and Canada under capacity purchase agreements (CPA). The Horizon segment includes the capacity sold to Alaska under a CPA. Its Mainline operations include Boeing 737 (B737) and Airbus A320 family (A320 and A321neo) jet service offered by Alaska. Its Regional operations consist primarily of flights operated by Horizon and SkyWest.</v>
    <v>20550</v>
    <v>New York Stock Exchange</v>
    <v>XNYS</v>
    <v>XNYS</v>
    <v>19300 International Blvd, SEATTLE, WA, 98188 US</v>
    <v>43.63</v>
    <v>Passenger Transportation Services</v>
    <v>Stock</v>
    <v>44917.737060312502</v>
    <v>1548</v>
    <v>42.23</v>
    <v>5357628672</v>
    <v>ALASKA AIR GROUP, INC.</v>
    <v>ALASKA AIR GROUP, INC.</v>
    <v>43.54</v>
    <v>148.45650000000001</v>
    <v>43.86</v>
    <v>42.24</v>
    <v>126837800</v>
    <v>ALK</v>
    <v>ALASKA AIR GROUP, INC. (XNYS:ALK)</v>
    <v>325523</v>
    <v>1241613</v>
    <v>1985</v>
  </rv>
  <rv s="2">
    <v>1549</v>
  </rv>
  <rv s="0">
    <v>https://www.bing.com/financeapi/forcetrigger?t=a1xlk2&amp;q=XNYS%3aMHK&amp;form=skydnc</v>
    <v>Learn more on Bing</v>
  </rv>
  <rv s="1">
    <v>en-US</v>
    <v>a1xlk2</v>
    <v>268435456</v>
    <v>1</v>
    <v>Powered by Refinitiv</v>
    <v>0</v>
    <v>MOHAWK INDUSTRIES, INC. (XNYS:MHK)</v>
    <v>2</v>
    <v>3</v>
    <v>Finance</v>
    <v>4</v>
    <v>192</v>
    <v>87.015000000000001</v>
    <v>1.2628999999999999</v>
    <v>-2.73</v>
    <v>-2.8075000000000003E-2</v>
    <v>USD</v>
    <v>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v>
    <v>43000</v>
    <v>New York Stock Exchange</v>
    <v>XNYS</v>
    <v>XNYS</v>
    <v>PO BOX 12069, 160 S INDUSTRIAL BLVD, CALHOUN, GA, 30701 US</v>
    <v>96.415000000000006</v>
    <v>Household Goods</v>
    <v>Stock</v>
    <v>44917.736827753906</v>
    <v>1551</v>
    <v>94.51</v>
    <v>6004601175</v>
    <v>MOHAWK INDUSTRIES, INC.</v>
    <v>MOHAWK INDUSTRIES, INC.</v>
    <v>95.77</v>
    <v>37.879899999999999</v>
    <v>97.24</v>
    <v>94.51</v>
    <v>63534030</v>
    <v>MHK</v>
    <v>MOHAWK INDUSTRIES, INC. (XNYS:MHK)</v>
    <v>144930</v>
    <v>535878</v>
    <v>1988</v>
  </rv>
  <rv s="2">
    <v>1552</v>
  </rv>
  <rv s="0">
    <v>https://www.bing.com/financeapi/forcetrigger?t=a1ywu2&amp;q=XNAS%3aNWL&amp;form=skydnc</v>
    <v>Learn more on Bing</v>
  </rv>
  <rv s="1">
    <v>en-US</v>
    <v>a1ywu2</v>
    <v>268435456</v>
    <v>1</v>
    <v>Powered by Refinitiv</v>
    <v>0</v>
    <v>NEWELL BRANDS INC. (XNAS:NWL)</v>
    <v>2</v>
    <v>3</v>
    <v>Finance</v>
    <v>4</v>
    <v>26.45</v>
    <v>12.244999999999999</v>
    <v>0.8266</v>
    <v>-0.371</v>
    <v>-2.8782000000000002E-2</v>
    <v>USD</v>
    <v>Newell Brands Inc. is a consumer goods company. The Company’s segments include Commercial Solutions, Home Appliances, Home Solutions, Learning and Development and Outdoor and Recreation. Commercial Solutions segment offers a range of commercial cleaning and maintenance solutions. Home Appliances segment offers household products, including kitchen appliances under Calphalon, Crockpot, Mr. Coffee, Oster and Sunbeam brands. Home Solutions segment provides food and home storage products, fresh preserving products, gourmet cookware, bakeware and cutlery and home fragrance products. Learning and Development, which provides baby gear and infant care products; writing instruments, including markers and highlighters, pencils; art products; activity-based adhesive and cutting products and labeling solutions. Outdoor and Recreation segment offers products for outdoor and outdoor-related activities under Campingaz, Marmot and Coleman brands.</v>
    <v>32000</v>
    <v>Nasdaq Stock Market</v>
    <v>XNAS</v>
    <v>XNAS</v>
    <v>6655 Peachtree Dunwoody Rd, ATLANTA, GA, 30328 US</v>
    <v>12.83</v>
    <v>Household Goods</v>
    <v>Stock</v>
    <v>44917.736979305468</v>
    <v>1554</v>
    <v>12.51</v>
    <v>5177858400</v>
    <v>NEWELL BRANDS INC.</v>
    <v>NEWELL BRANDS INC.</v>
    <v>12.81</v>
    <v>9.6149000000000004</v>
    <v>12.89</v>
    <v>12.519</v>
    <v>413600000</v>
    <v>NWL</v>
    <v>NEWELL BRANDS INC. (XNAS:NWL)</v>
    <v>1576919</v>
    <v>4981359</v>
    <v>1987</v>
  </rv>
  <rv s="2">
    <v>1555</v>
  </rv>
  <rv s="0">
    <v>https://www.bing.com/financeapi/forcetrigger?t=a1qgzr&amp;q=XNYS%3aLUMN&amp;form=skydnc</v>
    <v>Learn more on Bing</v>
  </rv>
  <rv s="1">
    <v>en-US</v>
    <v>a1qgzr</v>
    <v>268435456</v>
    <v>1</v>
    <v>Powered by Refinitiv</v>
    <v>0</v>
    <v>LUMEN TECHNOLOGIES, INC. (XNYS:LUMN)</v>
    <v>2</v>
    <v>3</v>
    <v>Finance</v>
    <v>4</v>
    <v>13.93</v>
    <v>5.0750000000000002</v>
    <v>0.98280000000000001</v>
    <v>-0.215</v>
    <v>-4.0566000000000005E-2</v>
    <v>USD</v>
    <v>Lumen Technologies, Inc. is an international facilities-based technology and communications company engaged primarily in providing a range of integrated services to its business and mass markets customers. The Company’s segments include Mass Markets, North America (NA) Business, Europe, Middle East and Africa region (EMEA) and Asia Pacific region (APAC). The Company’s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v>
    <v>29000</v>
    <v>New York Stock Exchange</v>
    <v>XNYS</v>
    <v>XNYS</v>
    <v>P O BOX 4065, 100 CENTURYLINK DR, MONROE, LA, 71203 US</v>
    <v>5.27</v>
    <v>Telecommunications Services</v>
    <v>Stock</v>
    <v>44917.737111955466</v>
    <v>1557</v>
    <v>5.0750000000000002</v>
    <v>5260854555</v>
    <v>LUMEN TECHNOLOGIES, INC.</v>
    <v>LUMEN TECHNOLOGIES, INC.</v>
    <v>5.26</v>
    <v>2.6539999999999999</v>
    <v>5.3</v>
    <v>5.085</v>
    <v>1034583000</v>
    <v>LUMN</v>
    <v>LUMEN TECHNOLOGIES, INC. (XNYS:LUMN)</v>
    <v>7405117</v>
    <v>25316848</v>
    <v>1968</v>
  </rv>
  <rv s="2">
    <v>1558</v>
  </rv>
  <rv s="0">
    <v>https://www.bing.com/financeapi/forcetrigger?t=a1x12w&amp;q=XNYS%3aLNC&amp;form=skydnc</v>
    <v>Learn more on Bing</v>
  </rv>
  <rv s="1">
    <v>en-US</v>
    <v>a1x12w</v>
    <v>268435456</v>
    <v>1</v>
    <v>Powered by Refinitiv</v>
    <v>0</v>
    <v>LINCOLN NATIONAL CORPORATION (XNYS:LNC)</v>
    <v>2</v>
    <v>3</v>
    <v>Finance</v>
    <v>4</v>
    <v>76.400000000000006</v>
    <v>28.8</v>
    <v>1.7645999999999999</v>
    <v>-1.46</v>
    <v>-4.8201000000000001E-2</v>
    <v>USD</v>
    <v>Lincoln National Corporation is a holding company, which operates multiple insurance and retirement businesses through subsidiary companies. The Company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such as LINCOLN DIRECTOR group variable annuity, LINCOLN ALLIANCE program and Multi-Fund variable annuity. The Life Insurance segment provides life insurance products, including term insurance and others. The Group Protection segment offers group non-medical insurance products and services, including short- and long-term disability, statutory disability and paid family medical leave administration.</v>
    <v>10848</v>
    <v>New York Stock Exchange</v>
    <v>XNYS</v>
    <v>XNYS</v>
    <v>150 N RADNOR CHESTER RD, RADNOR, PA, 19087 US</v>
    <v>30.024999999999999</v>
    <v>Insurance</v>
    <v>Stock</v>
    <v>44917.737069374998</v>
    <v>1560</v>
    <v>28.8</v>
    <v>4878482865</v>
    <v>LINCOLN NATIONAL CORPORATION</v>
    <v>LINCOLN NATIONAL CORPORATION</v>
    <v>30.015000000000001</v>
    <v>6.7282000000000002</v>
    <v>30.29</v>
    <v>28.83</v>
    <v>169215500</v>
    <v>LNC</v>
    <v>LINCOLN NATIONAL CORPORATION (XNYS:LNC)</v>
    <v>534768</v>
    <v>3307072</v>
    <v>1968</v>
  </rv>
  <rv s="2">
    <v>1561</v>
  </rv>
  <rv s="0">
    <v>https://www.bing.com/financeapi/forcetrigger?t=a222gh&amp;q=XNYS%3aRL&amp;form=skydnc</v>
    <v>Learn more on Bing</v>
  </rv>
  <rv s="1">
    <v>en-US</v>
    <v>a222gh</v>
    <v>268435456</v>
    <v>1</v>
    <v>Powered by Refinitiv</v>
    <v>0</v>
    <v>RALPH LAUREN CORPORATION (XNYS:RL)</v>
    <v>2</v>
    <v>3</v>
    <v>Finance</v>
    <v>4</v>
    <v>135.99</v>
    <v>82.231099999999998</v>
    <v>1.3877999999999999</v>
    <v>-0.75</v>
    <v>-7.2579999999999997E-3</v>
    <v>USD</v>
    <v>Ralph Lauren Corporation is engaged in the designing, marketing and distribution of lifestyle products in five categories: apparel, footwear and accessories, home, fragrances, and hospitality. Its apparel products include men's, women's, and children's clothing, which are sold under various brand names, including Ralph Lauren Collection, Ralph Lauren Purple Label, Polo Ralph Lauren and other. Its range of footwear and accessories encompasses men's, women's, and children's, including casual shoes, watches, fashion and fine jewelry, scarves, hats, gloves, umbrellas, leather goods and other. Its fragrance category includes the Company's men's and women's brands with numerous labels. Its range of home products includes bed and bath lines, furniture, fabric and wallcoverings, lighting, tabletop, kitchen linens, floor coverings, and giftware. Its hospitality collection is comprised of restaurants, including The Polo Bar, RL Restaurant, Ralph's, The Bar at Ralph Lauren and Ralph's Coffee.</v>
    <v>13500</v>
    <v>New York Stock Exchange</v>
    <v>XNYS</v>
    <v>XNYS</v>
    <v>650 Madison Ave, NEW YORK, NY, 10022 US</v>
    <v>103.26</v>
    <v>Textiles &amp; Apparel</v>
    <v>Stock</v>
    <v>44917.737083460153</v>
    <v>1563</v>
    <v>101.95350000000001</v>
    <v>6767458024</v>
    <v>RALPH LAUREN CORPORATION</v>
    <v>RALPH LAUREN CORPORATION</v>
    <v>101.98</v>
    <v>14.3005</v>
    <v>103.33</v>
    <v>102.58</v>
    <v>65972490</v>
    <v>RL</v>
    <v>RALPH LAUREN CORPORATION (XNYS:RL)</v>
    <v>128613</v>
    <v>936770</v>
    <v>1997</v>
  </rv>
  <rv s="2">
    <v>1564</v>
  </rv>
  <rv s="0">
    <v>https://www.bing.com/financeapi/forcetrigger?t=bp8fzr&amp;q=XNAS%3aFOX&amp;form=skydnc</v>
    <v>Learn more on Bing</v>
  </rv>
  <rv s="1">
    <v>en-US</v>
    <v>bp8fzr</v>
    <v>268435456</v>
    <v>1</v>
    <v>Powered by Refinitiv</v>
    <v>0</v>
    <v>FOX CORPORATION (XNAS:FOX)</v>
    <v>2</v>
    <v>3</v>
    <v>Finance</v>
    <v>4</v>
    <v>40.909999999999997</v>
    <v>26.35</v>
    <v>0.86099999999999999</v>
    <v>-0.16</v>
    <v>-5.6359999999999995E-3</v>
    <v>USD</v>
    <v>Fox Corporation is a news, sports, and entertainment company. The Company operates in three segments: Cable Network Programming, Television and Other, Corporate and Eliminations. The Cable Network Programming segment produces, and licenses news and sports content distributed through traditional cable television systems, direct broadcast satellite operators and telecommunication companies (traditional MVPDs), virtual multi-channel video programming distributors (virtual MVPDs) and other digital platforms, primarily in the United States. Television segment produces, acquires, markets, and distributes programming through the FOX broadcast network, advertising supported video-on-demand (AVOD) service TUBI, 29 full broadcast television stations, including 11 duopolies, and other digital platforms, primarily in the United States. Other, Corporate and Eliminations segment consist of the FOX Studio Lot, which provides television and film production services and Credible Labs Inc.</v>
    <v>10600</v>
    <v>Nasdaq Stock Market</v>
    <v>XNAS</v>
    <v>XNAS</v>
    <v>1211 Avenue of the Americas, NEW YORK, NY, 10036-8701 US</v>
    <v>28.45</v>
    <v>Media &amp; Publishing</v>
    <v>Stock</v>
    <v>44917.737011608595</v>
    <v>1566</v>
    <v>28.08</v>
    <v>15993870000</v>
    <v>FOX CORPORATION</v>
    <v>FOX CORPORATION</v>
    <v>28.16</v>
    <v>15.103999999999999</v>
    <v>28.39</v>
    <v>28.23</v>
    <v>542693600</v>
    <v>FOX</v>
    <v>FOX CORPORATION (XNAS:FOX)</v>
    <v>186458</v>
    <v>1313842</v>
    <v>2018</v>
  </rv>
  <rv s="2">
    <v>1567</v>
  </rv>
  <rv s="0">
    <v>https://www.bing.com/financeapi/forcetrigger?t=a1rec7&amp;q=XNYS%3aDVA&amp;form=skydnc</v>
    <v>Learn more on Bing</v>
  </rv>
  <rv s="1">
    <v>en-US</v>
    <v>a1rec7</v>
    <v>268435456</v>
    <v>1</v>
    <v>Powered by Refinitiv</v>
    <v>0</v>
    <v>DAVITA INC. (XNYS:DVA)</v>
    <v>2</v>
    <v>3</v>
    <v>Finance</v>
    <v>4</v>
    <v>124.81</v>
    <v>65.28</v>
    <v>0.97619999999999996</v>
    <v>-0.65</v>
    <v>-8.881E-3</v>
    <v>USD</v>
    <v>DaVita Inc. is a healthcare provider. The Company provides kidney care services in the United States. The Company's operations are comprised of its U.S. dialysis and related lab services business (U.S. dialysis business), its U.S. ancillary services and strategic initiatives, its international operations (ancillary services), and corporate administrative support. The U.S. dialysis business treats patients with chronic kidney failure, and end-stage kidney disease (ESKD). The Company provides dialysis and administrative services and related laboratory services. Its services include outpatient hemodialysis services, hospital inpatient hemodialysis services, and home-based dialysis services. The ancillary services consist of integrated kidney care services, physician services supporting integrated kidney care and kidney care initiatives outside of dialysis, clinical research programs, and transplant software business as well as international operations.</v>
    <v>69000</v>
    <v>New York Stock Exchange</v>
    <v>XNYS</v>
    <v>XNYS</v>
    <v>2000 16th St, DENVER, CO, 80202-5117 US</v>
    <v>73.239999999999995</v>
    <v>Healthcare Providers &amp; Services</v>
    <v>Stock</v>
    <v>44917.737078402344</v>
    <v>1569</v>
    <v>72.260000000000005</v>
    <v>6535854000</v>
    <v>DAVITA INC.</v>
    <v>DAVITA INC.</v>
    <v>72.790000000000006</v>
    <v>10.7141</v>
    <v>73.19</v>
    <v>72.540000000000006</v>
    <v>90100000</v>
    <v>DVA</v>
    <v>DAVITA INC. (XNYS:DVA)</v>
    <v>97695</v>
    <v>694260</v>
    <v>1994</v>
  </rv>
  <rv s="2">
    <v>1570</v>
  </rv>
  <rv s="0">
    <v>https://www.bing.com/financeapi/forcetrigger?t=a1r3bh&amp;q=XNAS%3aDISH&amp;form=skydnc</v>
    <v>Learn more on Bing</v>
  </rv>
  <rv s="1">
    <v>en-US</v>
    <v>a1r3bh</v>
    <v>268435456</v>
    <v>1</v>
    <v>Powered by Refinitiv</v>
    <v>0</v>
    <v>DISH NETWORK CORPORATION (XNAS:DISH)</v>
    <v>2</v>
    <v>3</v>
    <v>Finance</v>
    <v>4</v>
    <v>37.279899999999998</v>
    <v>12.55</v>
    <v>1.8159000000000001</v>
    <v>-0.27500000000000002</v>
    <v>-1.9755999999999999E-2</v>
    <v>USD</v>
    <v>DISH Network Corporation is a holding company. Its subsidiaries operate two primary business segments, Pay-TV and Wireless. Its Wireless business segment operates in two business units, Retail Wireless and 5G Network Deployment. The Pay-TV segment offers pay-TV services under the DISH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unit offers nationwide prepaid and postpaid retail wireless services to subscribers under its Boost Mobile and Ting Mobile brands. The Wireless-5G Network Deployment unit has invested to acquire certain wireless spectrum licenses.</v>
    <v>14500</v>
    <v>Nasdaq Stock Market</v>
    <v>XNAS</v>
    <v>XNAS</v>
    <v>9601 S Meridian Blvd, ENGLEWOOD, CO, 80112 US</v>
    <v>13.845000000000001</v>
    <v>Media &amp; Publishing</v>
    <v>Stock</v>
    <v>44917.737106978908</v>
    <v>1572</v>
    <v>13.3</v>
    <v>7241486099</v>
    <v>DISH NETWORK CORPORATION</v>
    <v>DISH NETWORK CORPORATION</v>
    <v>13.7</v>
    <v>4.6215999999999999</v>
    <v>13.92</v>
    <v>13.645</v>
    <v>530706200</v>
    <v>DISH</v>
    <v>DISH NETWORK CORPORATION (XNAS:DISH)</v>
    <v>3312636</v>
    <v>4299072</v>
    <v>1995</v>
  </rv>
  <rv s="2">
    <v>1573</v>
  </rv>
  <rv s="0">
    <v>https://www.bing.com/financeapi/forcetrigger?t=a25g5r&amp;q=XNYS%3aVNO&amp;form=skydnc</v>
    <v>Learn more on Bing</v>
  </rv>
  <rv s="1">
    <v>en-US</v>
    <v>a25g5r</v>
    <v>268435456</v>
    <v>1</v>
    <v>Powered by Refinitiv</v>
    <v>0</v>
    <v>VORNADO REALTY TRUST (XNYS:VNO)</v>
    <v>2</v>
    <v>3</v>
    <v>Finance</v>
    <v>4</v>
    <v>47.26</v>
    <v>20.03</v>
    <v>1.2612000000000001</v>
    <v>-0.34200000000000003</v>
    <v>-1.6224000000000002E-2</v>
    <v>USD</v>
    <v>Vornado Realty Trust is a real estate investment trust. The Company conducts its business through, and its interests in properties are held by, Vornado Realty L.P (the Operating Partnership). It owns and operates office and retail properties with a concentration in the New York City metropolitan area. Its segments include New York and Other. The Company holds over 32.4% interest in Alexander’s, Inc., which owns six properties in the greater New York metropolitan area, as well as interests in other real estate and related investments. The New York segment consists of approximately 27.3 million square feet in 73 properties, which is comprised of 20.6 million square feet of Manhattan office and 2.7 million square feet of Manhattan street retail properties. The Other Real Estate and Investments consist of approximately 3.7 million square foot theMART in Chicago and 70% controlling interest in 555 California Street, a three-building office complex in San Francisco’s financial district.</v>
    <v>3224</v>
    <v>New York Stock Exchange</v>
    <v>XNYS</v>
    <v>XNYS</v>
    <v>888 7th Ave, NEW YORK, NY, 10106-0001 US</v>
    <v>21.14</v>
    <v>Residential &amp; Commercial REIT</v>
    <v>Stock</v>
    <v>44917.737045450784</v>
    <v>1575</v>
    <v>20.5</v>
    <v>3977032023</v>
    <v>VORNADO REALTY TRUST</v>
    <v>VORNADO REALTY TRUST</v>
    <v>20.8</v>
    <v>42.153300000000002</v>
    <v>21.08</v>
    <v>20.738</v>
    <v>191775100</v>
    <v>VNO</v>
    <v>VORNADO REALTY TRUST (XNYS:VNO)</v>
    <v>927759</v>
    <v>3642738</v>
    <v>1993</v>
  </rv>
  <rv s="2">
    <v>1576</v>
  </rv>
  <rv s="0">
    <v>https://www.bing.com/financeapi/forcetrigger?t=a1yx6h&amp;q=XNAS%3aNWS&amp;form=skydnc</v>
    <v>Learn more on Bing</v>
  </rv>
  <rv s="1">
    <v>en-US</v>
    <v>a1yx6h</v>
    <v>268435456</v>
    <v>1</v>
    <v>Powered by Refinitiv</v>
    <v>0</v>
    <v>NEWS CORPORATION (XNAS:NWS)</v>
    <v>2</v>
    <v>3</v>
    <v>Finance</v>
    <v>4</v>
    <v>24.16</v>
    <v>15.15</v>
    <v>1.2961</v>
    <v>-0.18</v>
    <v>-1.0017E-2</v>
    <v>USD</v>
    <v>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v>
    <v>25500</v>
    <v>Nasdaq Stock Market</v>
    <v>XNAS</v>
    <v>XNAS</v>
    <v>1211 Avenue of the Americas, NEW YORK, NY, 10036 US</v>
    <v>17.93</v>
    <v>Media &amp; Publishing</v>
    <v>Stock</v>
    <v>44917.737052337499</v>
    <v>1578</v>
    <v>17.73</v>
    <v>10252270000</v>
    <v>NEWS CORPORATION</v>
    <v>NEWS CORPORATION</v>
    <v>17.760000000000002</v>
    <v>21.683800000000002</v>
    <v>17.97</v>
    <v>17.79</v>
    <v>575627800</v>
    <v>NWS</v>
    <v>NEWS CORPORATION (XNAS:NWS)</v>
    <v>150192</v>
    <v>978140</v>
    <v>2012</v>
  </rv>
  <rv s="2">
    <v>1579</v>
  </rv>
</rvData>
</file>

<file path=xl/richData/rdrichvaluestructure.xml><?xml version="1.0" encoding="utf-8"?>
<rvStructures xmlns="http://schemas.microsoft.com/office/spreadsheetml/2017/richdata" count="9">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error">
    <k n="errorType" t="i"/>
    <k n="field" t="s"/>
    <k n="subType" t="i"/>
  </s>
</rvStructures>
</file>

<file path=xl/richData/rdsupportingpropertybag.xml><?xml version="1.0" encoding="utf-8"?>
<supportingPropertyBags xmlns="http://schemas.microsoft.com/office/spreadsheetml/2017/richdata2">
  <spbArrays count="4">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spbArrays>
  <spbData count="17">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 s="0">
      <v>1</v>
      <v>Name</v>
      <v>LearnMoreOnLink</v>
    </spb>
    <spb s="5">
      <v>0</v>
      <v>0</v>
    </spb>
    <spb s="6">
      <v>6</v>
      <v>1</v>
      <v>1</v>
      <v>1</v>
      <v>1</v>
    </spb>
    <spb s="7">
      <v>1</v>
      <v>2</v>
      <v>2</v>
      <v>1</v>
      <v>3</v>
      <v>1</v>
      <v>10</v>
      <v>1</v>
      <v>1</v>
      <v>4</v>
      <v>4</v>
      <v>5</v>
      <v>6</v>
      <v>1</v>
      <v>1</v>
      <v>1</v>
      <v>4</v>
      <v>7</v>
      <v>8</v>
      <v>9</v>
      <v>4</v>
    </spb>
    <spb s="8">
      <v>Powered by Refinitiv</v>
    </spb>
    <spb s="0">
      <v>2</v>
      <v>Name</v>
      <v>LearnMoreOnLink</v>
    </spb>
    <spb s="9">
      <v>11</v>
      <v>2</v>
      <v>2</v>
      <v>11</v>
      <v>3</v>
      <v>11</v>
      <v>11</v>
      <v>11</v>
      <v>4</v>
      <v>4</v>
      <v>5</v>
      <v>6</v>
      <v>11</v>
      <v>4</v>
      <v>7</v>
      <v>8</v>
      <v>9</v>
      <v>4</v>
    </spb>
    <spb s="10">
      <v>Delayed 15 minutes</v>
      <v>from previous close</v>
      <v>from previous close</v>
      <v>GMT</v>
    </spb>
    <spb s="0">
      <v>3</v>
      <v>Name</v>
      <v>LearnMoreOnLink</v>
    </spb>
    <spb s="11">
      <v>1</v>
      <v>2</v>
      <v>2</v>
      <v>1</v>
      <v>3</v>
      <v>1</v>
      <v>1</v>
      <v>1</v>
      <v>4</v>
      <v>4</v>
      <v>5</v>
      <v>6</v>
      <v>1</v>
      <v>1</v>
      <v>1</v>
      <v>4</v>
      <v>7</v>
      <v>9</v>
      <v>4</v>
    </spb>
    <spb s="3">
      <v>12</v>
      <v>2</v>
      <v>2</v>
      <v>12</v>
      <v>3</v>
      <v>12</v>
      <v>12</v>
      <v>12</v>
      <v>4</v>
      <v>4</v>
      <v>5</v>
      <v>13</v>
      <v>12</v>
      <v>12</v>
      <v>12</v>
      <v>4</v>
      <v>7</v>
      <v>8</v>
      <v>9</v>
      <v>4</v>
    </spb>
    <spb s="4">
      <v>Delayed 15 minutes</v>
      <v>from previous close</v>
      <v>from previous close</v>
      <v>LSE</v>
      <v>GMT</v>
    </spb>
  </spbData>
</supportingPropertyBags>
</file>

<file path=xl/richData/rdsupportingpropertybagstructure.xml><?xml version="1.0" encoding="utf-8"?>
<spbStructures xmlns="http://schemas.microsoft.com/office/spreadsheetml/2017/richdata2" count="12">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name" t="s"/>
  </s>
  <s>
    <k n="Low" t="i"/>
    <k n="P/E" t="i"/>
    <k n="Beta" t="i"/>
    <k n="High" t="i"/>
    <k n="Name" t="i"/>
    <k n="Open" t="i"/>
    <k n="Price" t="i"/>
    <k n="Change" t="i"/>
    <k n="Volume" t="i"/>
    <k n="Employees" t="i"/>
    <k n="Change (%)" t="i"/>
    <k n="Market cap" t="i"/>
    <k n="Previous close" t="i"/>
    <k n="Volume average" t="i"/>
    <k n="Last trade time" t="i"/>
    <k n="Year incorporated" t="i"/>
    <k n="`%EntityServiceId" t="i"/>
    <k n="Shares outstanding" t="i"/>
  </s>
  <s>
    <k n="Price" t="s"/>
    <k n="Change" t="s"/>
    <k n="Change (%)" t="s"/>
    <k n="Last trade time" t="s"/>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x:dxf>
      <x:numFmt numFmtId="35" formatCode="_(* #,##0.00_);_(* \(#,##0.00\);_(* &quot;-&quot;??_);_(@_)"/>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1">
      <rpv i="0">_([$€-x-euro2] * #,##0.00_);_([$€-x-euro2] * (#,##0.00);_([$€-x-euro2] * "-"??_);_(@_)</rpv>
    </rSty>
    <rSty dxfid="7">
      <rpv i="0">_(* #,##0.00_);_(* (#,##0.00);_(* "-"??_);_(@_)</rpv>
    </rSty>
    <rSty dxfid="1">
      <rpv i="0">_-[$£-en-GB]* #,##0_-;-[$£-en-GB]* #,##0_-;_-[$£-en-GB]* "-"_-;_-@_-</rpv>
    </rSty>
  </richStyles>
</richStyleSheet>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B18439A-27F7-48BF-B5CB-0AE8362F7CEE}" name="Table_0" displayName="Table_0" ref="A3:J506" tableType="queryTable" totalsRowShown="0">
  <autoFilter ref="A3:J506" xr:uid="{1B18439A-27F7-48BF-B5CB-0AE8362F7CEE}"/>
  <tableColumns count="10">
    <tableColumn id="1" xr3:uid="{3D8C9268-803E-4D31-A33D-0DBB6A43F145}" uniqueName="1" name="#" queryTableFieldId="1"/>
    <tableColumn id="2" xr3:uid="{7A77BDE8-3F27-401E-99E0-513B3083D6A3}" uniqueName="2" name="Company" queryTableFieldId="2" dataDxfId="17"/>
    <tableColumn id="3" xr3:uid="{A0E61C98-5730-4568-8F25-3ADACA626829}" uniqueName="3" name="Symbol" queryTableFieldId="3" dataDxfId="16"/>
    <tableColumn id="8" xr3:uid="{0828CD7F-419E-4256-AB26-F594B1B65D30}" uniqueName="8" name="Industry" queryTableFieldId="8" dataDxfId="15">
      <calculatedColumnFormula array="1">_FV(Table_0[[#This Row],[Symbol]],"Industry")</calculatedColumnFormula>
    </tableColumn>
    <tableColumn id="4" xr3:uid="{7A2E45CF-8666-4FEB-B847-FC822F935DCA}" uniqueName="4" name="Weight" queryTableFieldId="4" dataDxfId="5"/>
    <tableColumn id="5" xr3:uid="{DA56C857-AA67-4B0B-AC68-6C772D34C24B}" uniqueName="5" name="Price" queryTableFieldId="5" dataDxfId="4"/>
    <tableColumn id="6" xr3:uid="{D4B95772-7E58-4862-9935-254726D0A103}" uniqueName="6" name="Chg" queryTableFieldId="6" dataDxfId="3"/>
    <tableColumn id="7" xr3:uid="{4D4A24F3-08E8-4701-A0FD-2C79DCB46A73}" uniqueName="7" name="% Chg" queryTableFieldId="7" dataDxfId="2" dataCellStyle="Percent"/>
    <tableColumn id="11" xr3:uid="{9FF625C3-5F9B-4156-B4C9-0BA21423B096}" uniqueName="11" name="P/E" queryTableFieldId="11" dataDxfId="1">
      <calculatedColumnFormula array="1">_FV(Table_0[[#This Row],[Symbol]],"P/E",TRUE)</calculatedColumnFormula>
    </tableColumn>
    <tableColumn id="12" xr3:uid="{B3441E01-58ED-4FB7-94EC-EFD3878AAF4E}" uniqueName="12" name="Market cap" queryTableFieldId="12" dataDxfId="0">
      <calculatedColumnFormula array="1">_FV(Table_0[[#This Row],[Symbol]],"Market cap",TRUE)</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4D998-C011-44FE-B8D9-F67B4C81F3DB}">
  <sheetPr codeName="Sheet1"/>
  <dimension ref="A1:N509"/>
  <sheetViews>
    <sheetView tabSelected="1" workbookViewId="0">
      <selection activeCell="A4" sqref="A4"/>
    </sheetView>
  </sheetViews>
  <sheetFormatPr defaultRowHeight="15" x14ac:dyDescent="0.25"/>
  <cols>
    <col min="1" max="1" width="4" bestFit="1" customWidth="1"/>
    <col min="2" max="2" width="47.85546875" bestFit="1" customWidth="1"/>
    <col min="3" max="3" width="69.140625" bestFit="1" customWidth="1"/>
    <col min="4" max="4" width="43.42578125" bestFit="1" customWidth="1"/>
    <col min="5" max="5" width="9" bestFit="1" customWidth="1"/>
    <col min="6" max="6" width="10.5703125" bestFit="1" customWidth="1"/>
    <col min="7" max="7" width="8.7109375" bestFit="1" customWidth="1"/>
    <col min="8" max="8" width="9.28515625" bestFit="1" customWidth="1"/>
    <col min="9" max="9" width="7.42578125" bestFit="1" customWidth="1"/>
    <col min="10" max="10" width="19" bestFit="1" customWidth="1"/>
  </cols>
  <sheetData>
    <row r="1" spans="1:14" ht="26.25" x14ac:dyDescent="0.4">
      <c r="A1" s="34" t="s">
        <v>529</v>
      </c>
      <c r="B1" s="34"/>
      <c r="C1" s="34"/>
      <c r="D1" s="34"/>
      <c r="E1" s="34"/>
      <c r="F1" s="34"/>
      <c r="G1" s="34"/>
      <c r="H1" s="34"/>
      <c r="I1" s="34"/>
      <c r="J1" s="34"/>
    </row>
    <row r="2" spans="1:14" ht="21" x14ac:dyDescent="0.35">
      <c r="A2" s="3"/>
      <c r="B2" s="3"/>
      <c r="C2" s="10" t="s">
        <v>533</v>
      </c>
      <c r="D2" s="3"/>
      <c r="E2" s="3"/>
      <c r="F2" s="3"/>
      <c r="G2" s="3"/>
      <c r="H2" s="3"/>
      <c r="I2" s="3"/>
      <c r="J2" s="3"/>
    </row>
    <row r="3" spans="1:14" x14ac:dyDescent="0.25">
      <c r="A3" t="s">
        <v>0</v>
      </c>
      <c r="B3" s="8" t="s">
        <v>1</v>
      </c>
      <c r="C3" s="8" t="s">
        <v>586</v>
      </c>
      <c r="D3" s="8" t="s">
        <v>530</v>
      </c>
      <c r="E3" s="8" t="s">
        <v>2</v>
      </c>
      <c r="F3" s="8" t="s">
        <v>3</v>
      </c>
      <c r="G3" s="8" t="s">
        <v>4</v>
      </c>
      <c r="H3" s="8" t="s">
        <v>5</v>
      </c>
      <c r="I3" s="8" t="s">
        <v>531</v>
      </c>
      <c r="J3" s="8" t="s">
        <v>532</v>
      </c>
      <c r="K3" s="14" t="s">
        <v>607</v>
      </c>
      <c r="L3" s="14"/>
      <c r="M3" s="14"/>
      <c r="N3" s="14"/>
    </row>
    <row r="4" spans="1:14" x14ac:dyDescent="0.25">
      <c r="A4">
        <v>1</v>
      </c>
      <c r="B4" t="s">
        <v>6</v>
      </c>
      <c r="C4" t="e" vm="1">
        <v>#VALUE!</v>
      </c>
      <c r="D4" t="str" cm="1">
        <f t="array" ref="D4">_FV(Table_0[[#This Row],[Symbol]],"Industry")</f>
        <v>Computers, Phones &amp; Household Electronics</v>
      </c>
      <c r="E4" s="8">
        <v>6.2372310000000004</v>
      </c>
      <c r="F4" s="11">
        <v>130.79</v>
      </c>
      <c r="G4" s="11">
        <v>-4.67</v>
      </c>
      <c r="H4" s="13" t="s">
        <v>665</v>
      </c>
      <c r="I4" s="9" cm="1">
        <f t="array" ref="I4">_FV(Table_0[[#This Row],[Symbol]],"P/E",TRUE)</f>
        <v>22.197299999999998</v>
      </c>
      <c r="J4" s="1" cm="1">
        <f t="array" ref="J4">_FV(Table_0[[#This Row],[Symbol]],"Market cap",TRUE)</f>
        <v>2080543474200</v>
      </c>
    </row>
    <row r="5" spans="1:14" x14ac:dyDescent="0.25">
      <c r="A5">
        <v>2</v>
      </c>
      <c r="B5" t="s">
        <v>7</v>
      </c>
      <c r="C5" t="e" vm="2">
        <v>#VALUE!</v>
      </c>
      <c r="D5" t="str" cm="1">
        <f t="array" ref="D5">_FV(Table_0[[#This Row],[Symbol]],"Industry")</f>
        <v>Software &amp; IT Services</v>
      </c>
      <c r="E5" s="8">
        <v>5.6109689999999999</v>
      </c>
      <c r="F5" s="11">
        <v>234.9</v>
      </c>
      <c r="G5" s="11">
        <v>-9.5299999999999994</v>
      </c>
      <c r="H5" s="13" t="s">
        <v>822</v>
      </c>
      <c r="I5" s="9" cm="1">
        <f t="array" ref="I5">_FV(Table_0[[#This Row],[Symbol]],"P/E",TRUE)</f>
        <v>26.338200000000001</v>
      </c>
      <c r="J5" s="1" cm="1">
        <f t="array" ref="J5">_FV(Table_0[[#This Row],[Symbol]],"Market cap",TRUE)</f>
        <v>1751130252430</v>
      </c>
    </row>
    <row r="6" spans="1:14" x14ac:dyDescent="0.25">
      <c r="A6">
        <v>3</v>
      </c>
      <c r="B6" t="s">
        <v>8</v>
      </c>
      <c r="C6" t="e" vm="3">
        <v>#VALUE!</v>
      </c>
      <c r="D6" t="str" cm="1">
        <f t="array" ref="D6">_FV(Table_0[[#This Row],[Symbol]],"Industry")</f>
        <v>Diversified Retail</v>
      </c>
      <c r="E6" s="8">
        <v>2.3715130000000002</v>
      </c>
      <c r="F6" s="11">
        <v>82.61</v>
      </c>
      <c r="G6" s="11">
        <v>-4.17</v>
      </c>
      <c r="H6" s="13" t="s">
        <v>848</v>
      </c>
      <c r="I6" s="9" cm="1">
        <f t="array" ref="I6">_FV(Table_0[[#This Row],[Symbol]],"P/E",TRUE)</f>
        <v>80.0745</v>
      </c>
      <c r="J6" s="1" cm="1">
        <f t="array" ref="J6">_FV(Table_0[[#This Row],[Symbol]],"Market cap",TRUE)</f>
        <v>885197600000</v>
      </c>
    </row>
    <row r="7" spans="1:14" x14ac:dyDescent="0.25">
      <c r="A7">
        <v>4</v>
      </c>
      <c r="B7" t="s">
        <v>10</v>
      </c>
      <c r="C7" t="e" vm="4">
        <v>#VALUE!</v>
      </c>
      <c r="D7" t="str" cm="1">
        <f t="array" ref="D7">_FV(Table_0[[#This Row],[Symbol]],"Industry")</f>
        <v>Consumer Goods Conglomerates</v>
      </c>
      <c r="E7" s="8">
        <v>1.7078530000000001</v>
      </c>
      <c r="F7" s="11">
        <v>299.17</v>
      </c>
      <c r="G7" s="11">
        <v>-8.65</v>
      </c>
      <c r="H7" s="13" t="s">
        <v>804</v>
      </c>
      <c r="I7" s="9" cm="1">
        <f t="array" ref="I7">_FV(Table_0[[#This Row],[Symbol]],"P/E",TRUE)</f>
        <v>58.405200000000001</v>
      </c>
      <c r="J7" s="1" cm="1">
        <f t="array" ref="J7">_FV(Table_0[[#This Row],[Symbol]],"Market cap",TRUE)</f>
        <v>679588500000</v>
      </c>
    </row>
    <row r="8" spans="1:14" x14ac:dyDescent="0.25">
      <c r="A8">
        <v>5</v>
      </c>
      <c r="B8" t="s">
        <v>9</v>
      </c>
      <c r="C8" t="e" vm="5">
        <v>#VALUE!</v>
      </c>
      <c r="D8" t="str" cm="1">
        <f t="array" ref="D8">_FV(Table_0[[#This Row],[Symbol]],"Industry")</f>
        <v>Software &amp; IT Services</v>
      </c>
      <c r="E8" s="8">
        <v>1.64767</v>
      </c>
      <c r="F8" s="11">
        <v>86.83</v>
      </c>
      <c r="G8" s="11">
        <v>-2.75</v>
      </c>
      <c r="H8" s="13" t="s">
        <v>819</v>
      </c>
      <c r="I8" s="9" cm="1">
        <f t="array" ref="I8">_FV(Table_0[[#This Row],[Symbol]],"P/E",TRUE)</f>
        <v>17.791499999999999</v>
      </c>
      <c r="J8" s="1" cm="1">
        <f t="array" ref="J8">_FV(Table_0[[#This Row],[Symbol]],"Market cap",TRUE)</f>
        <v>1163512000000</v>
      </c>
    </row>
    <row r="9" spans="1:14" x14ac:dyDescent="0.25">
      <c r="A9">
        <v>6</v>
      </c>
      <c r="B9" t="s">
        <v>12</v>
      </c>
      <c r="C9" t="e" vm="6">
        <v>#VALUE!</v>
      </c>
      <c r="D9" t="str" cm="1">
        <f t="array" ref="D9">_FV(Table_0[[#This Row],[Symbol]],"Industry")</f>
        <v>Healthcare Providers &amp; Services</v>
      </c>
      <c r="E9" s="8">
        <v>1.517855</v>
      </c>
      <c r="F9" s="11">
        <v>523.65</v>
      </c>
      <c r="G9" s="11">
        <v>-3.89</v>
      </c>
      <c r="H9" s="13" t="s">
        <v>635</v>
      </c>
      <c r="I9" s="9" cm="1">
        <f t="array" ref="I9">_FV(Table_0[[#This Row],[Symbol]],"P/E",TRUE)</f>
        <v>25.840499999999999</v>
      </c>
      <c r="J9" s="1" cm="1">
        <f t="array" ref="J9">_FV(Table_0[[#This Row],[Symbol]],"Market cap",TRUE)</f>
        <v>489271999649</v>
      </c>
    </row>
    <row r="10" spans="1:14" x14ac:dyDescent="0.25">
      <c r="A10">
        <v>7</v>
      </c>
      <c r="B10" t="s">
        <v>11</v>
      </c>
      <c r="C10" t="e" vm="7">
        <v>#VALUE!</v>
      </c>
      <c r="D10" t="str" cm="1">
        <f t="array" ref="D10">_FV(Table_0[[#This Row],[Symbol]],"Industry")</f>
        <v>Software &amp; IT Services</v>
      </c>
      <c r="E10" s="8">
        <v>1.471514</v>
      </c>
      <c r="F10" s="11">
        <v>87.47</v>
      </c>
      <c r="G10" s="11">
        <v>-2.78</v>
      </c>
      <c r="H10" s="13" t="s">
        <v>803</v>
      </c>
      <c r="I10" s="9" cm="1">
        <f t="array" ref="I10">_FV(Table_0[[#This Row],[Symbol]],"P/E",TRUE)</f>
        <v>17.9191</v>
      </c>
      <c r="J10" s="1" cm="1">
        <f t="array" ref="J10">_FV(Table_0[[#This Row],[Symbol]],"Market cap",TRUE)</f>
        <v>1163512000000</v>
      </c>
    </row>
    <row r="11" spans="1:14" x14ac:dyDescent="0.25">
      <c r="A11">
        <v>8</v>
      </c>
      <c r="B11" t="s">
        <v>14</v>
      </c>
      <c r="C11" t="e" vm="8">
        <v>#VALUE!</v>
      </c>
      <c r="D11" t="str" cm="1">
        <f t="array" ref="D11">_FV(Table_0[[#This Row],[Symbol]],"Industry")</f>
        <v>Pharmaceuticals</v>
      </c>
      <c r="E11" s="8">
        <v>1.4320630000000001</v>
      </c>
      <c r="F11" s="11">
        <v>176.15</v>
      </c>
      <c r="G11" s="11">
        <v>-1.53</v>
      </c>
      <c r="H11" s="13" t="s">
        <v>692</v>
      </c>
      <c r="I11" s="9" cm="1">
        <f t="array" ref="I11">_FV(Table_0[[#This Row],[Symbol]],"P/E",TRUE)</f>
        <v>24.736699999999999</v>
      </c>
      <c r="J11" s="1" cm="1">
        <f t="array" ref="J11">_FV(Table_0[[#This Row],[Symbol]],"Market cap",TRUE)</f>
        <v>460541356600</v>
      </c>
    </row>
    <row r="12" spans="1:14" x14ac:dyDescent="0.25">
      <c r="A12">
        <v>9</v>
      </c>
      <c r="B12" t="s">
        <v>15</v>
      </c>
      <c r="C12" t="e" vm="9">
        <v>#VALUE!</v>
      </c>
      <c r="D12" t="str" cm="1">
        <f t="array" ref="D12">_FV(Table_0[[#This Row],[Symbol]],"Industry")</f>
        <v>Oil &amp; Gas</v>
      </c>
      <c r="E12" s="8">
        <v>1.370404</v>
      </c>
      <c r="F12" s="11">
        <v>105.2</v>
      </c>
      <c r="G12" s="11">
        <v>-2.86</v>
      </c>
      <c r="H12" s="13" t="s">
        <v>721</v>
      </c>
      <c r="I12" s="9" cm="1">
        <f t="array" ref="I12">_FV(Table_0[[#This Row],[Symbol]],"P/E",TRUE)</f>
        <v>8.8129000000000008</v>
      </c>
      <c r="J12" s="1" cm="1">
        <f t="array" ref="J12">_FV(Table_0[[#This Row],[Symbol]],"Market cap",TRUE)</f>
        <v>433213600000</v>
      </c>
    </row>
    <row r="13" spans="1:14" x14ac:dyDescent="0.25">
      <c r="A13">
        <v>10</v>
      </c>
      <c r="B13" t="s">
        <v>16</v>
      </c>
      <c r="C13" t="e" vm="10">
        <v>#VALUE!</v>
      </c>
      <c r="D13" t="str" cm="1">
        <f t="array" ref="D13">_FV(Table_0[[#This Row],[Symbol]],"Industry")</f>
        <v>Semiconductors &amp; Semiconductor Equipment</v>
      </c>
      <c r="E13" s="8">
        <v>1.266634</v>
      </c>
      <c r="F13" s="11">
        <v>149.52000000000001</v>
      </c>
      <c r="G13" s="11">
        <v>-15.49</v>
      </c>
      <c r="H13" s="13" t="s">
        <v>838</v>
      </c>
      <c r="I13" s="9" cm="1">
        <f t="array" ref="I13">_FV(Table_0[[#This Row],[Symbol]],"P/E",TRUE)</f>
        <v>70.186599999999999</v>
      </c>
      <c r="J13" s="1" cm="1">
        <f t="array" ref="J13">_FV(Table_0[[#This Row],[Symbol]],"Market cap",TRUE)</f>
        <v>367745400000</v>
      </c>
    </row>
    <row r="14" spans="1:14" x14ac:dyDescent="0.25">
      <c r="A14">
        <v>11</v>
      </c>
      <c r="B14" t="s">
        <v>17</v>
      </c>
      <c r="C14" t="e" vm="11">
        <v>#VALUE!</v>
      </c>
      <c r="D14" t="str" cm="1">
        <f t="array" ref="D14">_FV(Table_0[[#This Row],[Symbol]],"Industry")</f>
        <v>Banking Services</v>
      </c>
      <c r="E14" s="8">
        <v>1.193737</v>
      </c>
      <c r="F14" s="11">
        <v>128.61000000000001</v>
      </c>
      <c r="G14" s="11">
        <v>-3.55</v>
      </c>
      <c r="H14" s="13" t="s">
        <v>792</v>
      </c>
      <c r="I14" s="9" cm="1">
        <f t="array" ref="I14">_FV(Table_0[[#This Row],[Symbol]],"P/E",TRUE)</f>
        <v>11.158899999999999</v>
      </c>
      <c r="J14" s="1" cm="1">
        <f t="array" ref="J14">_FV(Table_0[[#This Row],[Symbol]],"Market cap",TRUE)</f>
        <v>377239495050</v>
      </c>
    </row>
    <row r="15" spans="1:14" x14ac:dyDescent="0.25">
      <c r="A15">
        <v>12</v>
      </c>
      <c r="B15" t="s">
        <v>13</v>
      </c>
      <c r="C15" t="e" vm="12">
        <v>#VALUE!</v>
      </c>
      <c r="D15" t="str" cm="1">
        <f t="array" ref="D15">_FV(Table_0[[#This Row],[Symbol]],"Industry")</f>
        <v>Automobiles &amp; Auto Parts</v>
      </c>
      <c r="E15" s="8">
        <v>1.13707</v>
      </c>
      <c r="F15" s="11">
        <v>124.12</v>
      </c>
      <c r="G15" s="11">
        <v>-13.45</v>
      </c>
      <c r="H15" s="13" t="s">
        <v>854</v>
      </c>
      <c r="I15" s="9" cm="1">
        <f t="array" ref="I15">_FV(Table_0[[#This Row],[Symbol]],"P/E",TRUE)</f>
        <v>42.380800000000001</v>
      </c>
      <c r="J15" s="1" cm="1">
        <f t="array" ref="J15">_FV(Table_0[[#This Row],[Symbol]],"Market cap",TRUE)</f>
        <v>391892811960</v>
      </c>
    </row>
    <row r="16" spans="1:14" x14ac:dyDescent="0.25">
      <c r="A16">
        <v>13</v>
      </c>
      <c r="B16" t="s">
        <v>18</v>
      </c>
      <c r="C16" t="e" vm="13">
        <v>#VALUE!</v>
      </c>
      <c r="D16" t="str" cm="1">
        <f t="array" ref="D16">_FV(Table_0[[#This Row],[Symbol]],"Industry")</f>
        <v>Personal &amp; Household Products &amp; Services</v>
      </c>
      <c r="E16" s="8">
        <v>1.108017</v>
      </c>
      <c r="F16" s="11">
        <v>151.19999999999999</v>
      </c>
      <c r="G16" s="11">
        <v>-0.64</v>
      </c>
      <c r="H16" s="13" t="s">
        <v>34</v>
      </c>
      <c r="I16" s="9" cm="1">
        <f t="array" ref="I16">_FV(Table_0[[#This Row],[Symbol]],"P/E",TRUE)</f>
        <v>26.321200000000001</v>
      </c>
      <c r="J16" s="1" cm="1">
        <f t="array" ref="J16">_FV(Table_0[[#This Row],[Symbol]],"Market cap",TRUE)</f>
        <v>358298640000</v>
      </c>
    </row>
    <row r="17" spans="1:10" x14ac:dyDescent="0.25">
      <c r="A17">
        <v>14</v>
      </c>
      <c r="B17" t="s">
        <v>19</v>
      </c>
      <c r="C17" t="e" vm="14">
        <v>#VALUE!</v>
      </c>
      <c r="D17" t="str" cm="1">
        <f t="array" ref="D17">_FV(Table_0[[#This Row],[Symbol]],"Industry")</f>
        <v>Software &amp; IT Services</v>
      </c>
      <c r="E17" s="8">
        <v>1.0412619999999999</v>
      </c>
      <c r="F17" s="11">
        <v>203.5</v>
      </c>
      <c r="G17" s="11">
        <v>-3.31</v>
      </c>
      <c r="H17" s="13" t="s">
        <v>728</v>
      </c>
      <c r="I17" s="9" cm="1">
        <f t="array" ref="I17">_FV(Table_0[[#This Row],[Symbol]],"P/E",TRUE)</f>
        <v>29.586600000000001</v>
      </c>
      <c r="J17" s="1" cm="1">
        <f t="array" ref="J17">_FV(Table_0[[#This Row],[Symbol]],"Market cap",TRUE)</f>
        <v>383291232500</v>
      </c>
    </row>
    <row r="18" spans="1:10" x14ac:dyDescent="0.25">
      <c r="A18">
        <v>15</v>
      </c>
      <c r="B18" t="s">
        <v>20</v>
      </c>
      <c r="C18" t="e" vm="15">
        <v>#VALUE!</v>
      </c>
      <c r="D18" t="str" cm="1">
        <f t="array" ref="D18">_FV(Table_0[[#This Row],[Symbol]],"Industry")</f>
        <v>Specialty Retailers</v>
      </c>
      <c r="E18" s="8">
        <v>1.006205</v>
      </c>
      <c r="F18" s="11">
        <v>312.63</v>
      </c>
      <c r="G18" s="11">
        <v>-6.74</v>
      </c>
      <c r="H18" s="13" t="s">
        <v>757</v>
      </c>
      <c r="I18" s="9" cm="1">
        <f t="array" ref="I18">_FV(Table_0[[#This Row],[Symbol]],"P/E",TRUE)</f>
        <v>19.2455</v>
      </c>
      <c r="J18" s="1" cm="1">
        <f t="array" ref="J18">_FV(Table_0[[#This Row],[Symbol]],"Market cap",TRUE)</f>
        <v>318623023250</v>
      </c>
    </row>
    <row r="19" spans="1:10" x14ac:dyDescent="0.25">
      <c r="A19">
        <v>16</v>
      </c>
      <c r="B19" t="s">
        <v>21</v>
      </c>
      <c r="C19" t="e" vm="16">
        <v>#VALUE!</v>
      </c>
      <c r="D19" t="str" cm="1">
        <f t="array" ref="D19">_FV(Table_0[[#This Row],[Symbol]],"Industry")</f>
        <v>Oil &amp; Gas</v>
      </c>
      <c r="E19" s="8">
        <v>0.95702399999999999</v>
      </c>
      <c r="F19" s="11">
        <v>170.53</v>
      </c>
      <c r="G19" s="11">
        <v>-4.17</v>
      </c>
      <c r="H19" s="13" t="s">
        <v>745</v>
      </c>
      <c r="I19" s="9" cm="1">
        <f t="array" ref="I19">_FV(Table_0[[#This Row],[Symbol]],"P/E",TRUE)</f>
        <v>9.9387000000000008</v>
      </c>
      <c r="J19" s="1" cm="1">
        <f t="array" ref="J19">_FV(Table_0[[#This Row],[Symbol]],"Market cap",TRUE)</f>
        <v>329743458670</v>
      </c>
    </row>
    <row r="20" spans="1:10" x14ac:dyDescent="0.25">
      <c r="A20">
        <v>17</v>
      </c>
      <c r="B20" t="s">
        <v>22</v>
      </c>
      <c r="C20" t="e" vm="17">
        <v>#VALUE!</v>
      </c>
      <c r="D20" t="str" cm="1">
        <f t="array" ref="D20">_FV(Table_0[[#This Row],[Symbol]],"Industry")</f>
        <v>Software &amp; IT Services</v>
      </c>
      <c r="E20" s="8">
        <v>0.90414000000000005</v>
      </c>
      <c r="F20" s="11">
        <v>338.71</v>
      </c>
      <c r="G20" s="11">
        <v>-6.98</v>
      </c>
      <c r="H20" s="13" t="s">
        <v>640</v>
      </c>
      <c r="I20" s="9" cm="1">
        <f t="array" ref="I20">_FV(Table_0[[#This Row],[Symbol]],"P/E",TRUE)</f>
        <v>34.534100000000002</v>
      </c>
      <c r="J20" s="1" cm="1">
        <f t="array" ref="J20">_FV(Table_0[[#This Row],[Symbol]],"Market cap",TRUE)</f>
        <v>325694507250</v>
      </c>
    </row>
    <row r="21" spans="1:10" x14ac:dyDescent="0.25">
      <c r="A21">
        <v>18</v>
      </c>
      <c r="B21" t="s">
        <v>24</v>
      </c>
      <c r="C21" t="e" vm="18">
        <v>#VALUE!</v>
      </c>
      <c r="D21" t="str" cm="1">
        <f t="array" ref="D21">_FV(Table_0[[#This Row],[Symbol]],"Industry")</f>
        <v>Pharmaceuticals</v>
      </c>
      <c r="E21" s="8">
        <v>0.893737</v>
      </c>
      <c r="F21" s="11">
        <v>364.7</v>
      </c>
      <c r="G21" s="11">
        <v>-3.31</v>
      </c>
      <c r="H21" s="13" t="s">
        <v>407</v>
      </c>
      <c r="I21" s="9" cm="1">
        <f t="array" ref="I21">_FV(Table_0[[#This Row],[Symbol]],"P/E",TRUE)</f>
        <v>55.306699999999999</v>
      </c>
      <c r="J21" s="1" cm="1">
        <f t="array" ref="J21">_FV(Table_0[[#This Row],[Symbol]],"Market cap",TRUE)</f>
        <v>346529880130</v>
      </c>
    </row>
    <row r="22" spans="1:10" x14ac:dyDescent="0.25">
      <c r="A22">
        <v>19</v>
      </c>
      <c r="B22" t="s">
        <v>26</v>
      </c>
      <c r="C22" t="e" vm="19">
        <v>#VALUE!</v>
      </c>
      <c r="D22" t="str" cm="1">
        <f t="array" ref="D22">_FV(Table_0[[#This Row],[Symbol]],"Industry")</f>
        <v>Pharmaceuticals</v>
      </c>
      <c r="E22" s="8">
        <v>0.89297700000000002</v>
      </c>
      <c r="F22" s="11">
        <v>51.01</v>
      </c>
      <c r="G22" s="11">
        <v>-0.65</v>
      </c>
      <c r="H22" s="13" t="s">
        <v>619</v>
      </c>
      <c r="I22" s="9" cm="1">
        <f t="array" ref="I22">_FV(Table_0[[#This Row],[Symbol]],"P/E",TRUE)</f>
        <v>9.7982999999999993</v>
      </c>
      <c r="J22" s="1" cm="1">
        <f t="array" ref="J22">_FV(Table_0[[#This Row],[Symbol]],"Market cap",TRUE)</f>
        <v>286390718948</v>
      </c>
    </row>
    <row r="23" spans="1:10" x14ac:dyDescent="0.25">
      <c r="A23">
        <v>20</v>
      </c>
      <c r="B23" t="s">
        <v>25</v>
      </c>
      <c r="C23" t="e" vm="20">
        <v>#VALUE!</v>
      </c>
      <c r="D23" t="str" cm="1">
        <f t="array" ref="D23">_FV(Table_0[[#This Row],[Symbol]],"Industry")</f>
        <v>Pharmaceuticals</v>
      </c>
      <c r="E23" s="8">
        <v>0.88337100000000002</v>
      </c>
      <c r="F23" s="11">
        <v>162.09</v>
      </c>
      <c r="G23" s="11">
        <v>-0.12</v>
      </c>
      <c r="H23" s="13" t="s">
        <v>110</v>
      </c>
      <c r="I23" s="9" cm="1">
        <f t="array" ref="I23">_FV(Table_0[[#This Row],[Symbol]],"P/E",TRUE)</f>
        <v>21.609000000000002</v>
      </c>
      <c r="J23" s="1" cm="1">
        <f t="array" ref="J23">_FV(Table_0[[#This Row],[Symbol]],"Market cap",TRUE)</f>
        <v>286617553600</v>
      </c>
    </row>
    <row r="24" spans="1:10" x14ac:dyDescent="0.25">
      <c r="A24">
        <v>21</v>
      </c>
      <c r="B24" t="s">
        <v>27</v>
      </c>
      <c r="C24" t="e" vm="21">
        <v>#VALUE!</v>
      </c>
      <c r="D24" t="str" cm="1">
        <f t="array" ref="D24">_FV(Table_0[[#This Row],[Symbol]],"Industry")</f>
        <v>Pharmaceuticals</v>
      </c>
      <c r="E24" s="8">
        <v>0.86749200000000004</v>
      </c>
      <c r="F24" s="11">
        <v>110.73</v>
      </c>
      <c r="G24" s="11">
        <v>-0.38</v>
      </c>
      <c r="H24" s="13" t="s">
        <v>127</v>
      </c>
      <c r="I24" s="9" cm="1">
        <f t="array" ref="I24">_FV(Table_0[[#This Row],[Symbol]],"P/E",TRUE)</f>
        <v>18.4071</v>
      </c>
      <c r="J24" s="1" cm="1">
        <f t="array" ref="J24">_FV(Table_0[[#This Row],[Symbol]],"Market cap",TRUE)</f>
        <v>280719045120</v>
      </c>
    </row>
    <row r="25" spans="1:10" x14ac:dyDescent="0.25">
      <c r="A25">
        <v>22</v>
      </c>
      <c r="B25" t="s">
        <v>30</v>
      </c>
      <c r="C25" t="e" vm="22">
        <v>#VALUE!</v>
      </c>
      <c r="D25" t="str" cm="1">
        <f t="array" ref="D25">_FV(Table_0[[#This Row],[Symbol]],"Industry")</f>
        <v>Software &amp; IT Services</v>
      </c>
      <c r="E25" s="8">
        <v>0.82928599999999997</v>
      </c>
      <c r="F25" s="11">
        <v>115.16</v>
      </c>
      <c r="G25" s="11">
        <v>-4.5999999999999996</v>
      </c>
      <c r="H25" s="13" t="s">
        <v>733</v>
      </c>
      <c r="I25" s="9" cm="1">
        <f t="array" ref="I25">_FV(Table_0[[#This Row],[Symbol]],"P/E",TRUE)</f>
        <v>11.4245</v>
      </c>
      <c r="J25" s="1" cm="1">
        <f t="array" ref="J25">_FV(Table_0[[#This Row],[Symbol]],"Market cap",TRUE)</f>
        <v>305352382840</v>
      </c>
    </row>
    <row r="26" spans="1:10" x14ac:dyDescent="0.25">
      <c r="A26">
        <v>23</v>
      </c>
      <c r="B26" t="s">
        <v>29</v>
      </c>
      <c r="C26" t="e" vm="23">
        <v>#VALUE!</v>
      </c>
      <c r="D26" t="str" cm="1">
        <f t="array" ref="D26">_FV(Table_0[[#This Row],[Symbol]],"Industry")</f>
        <v>Beverages</v>
      </c>
      <c r="E26" s="8">
        <v>0.77425999999999995</v>
      </c>
      <c r="F26" s="11">
        <v>180.08</v>
      </c>
      <c r="G26" s="11">
        <v>-2.42</v>
      </c>
      <c r="H26" s="13" t="s">
        <v>763</v>
      </c>
      <c r="I26" s="9" cm="1">
        <f t="array" ref="I26">_FV(Table_0[[#This Row],[Symbol]],"P/E",TRUE)</f>
        <v>25.883199999999999</v>
      </c>
      <c r="J26" s="1" cm="1">
        <f t="array" ref="J26">_FV(Table_0[[#This Row],[Symbol]],"Market cap",TRUE)</f>
        <v>248097836720</v>
      </c>
    </row>
    <row r="27" spans="1:10" x14ac:dyDescent="0.25">
      <c r="A27">
        <v>24</v>
      </c>
      <c r="B27" t="s">
        <v>31</v>
      </c>
      <c r="C27" t="e" vm="24">
        <v>#VALUE!</v>
      </c>
      <c r="D27" t="str" cm="1">
        <f t="array" ref="D27">_FV(Table_0[[#This Row],[Symbol]],"Industry")</f>
        <v>Beverages</v>
      </c>
      <c r="E27" s="8">
        <v>0.76465700000000003</v>
      </c>
      <c r="F27" s="11">
        <v>62.98</v>
      </c>
      <c r="G27" s="11">
        <v>-0.83</v>
      </c>
      <c r="H27" s="13" t="s">
        <v>815</v>
      </c>
      <c r="I27" s="9" cm="1">
        <f t="array" ref="I27">_FV(Table_0[[#This Row],[Symbol]],"P/E",TRUE)</f>
        <v>27.970199999999998</v>
      </c>
      <c r="J27" s="1" cm="1">
        <f t="array" ref="J27">_FV(Table_0[[#This Row],[Symbol]],"Market cap",TRUE)</f>
        <v>272357828740</v>
      </c>
    </row>
    <row r="28" spans="1:10" x14ac:dyDescent="0.25">
      <c r="A28">
        <v>25</v>
      </c>
      <c r="B28" t="s">
        <v>28</v>
      </c>
      <c r="C28" t="e" vm="25">
        <v>#VALUE!</v>
      </c>
      <c r="D28" t="str" cm="1">
        <f t="array" ref="D28">_FV(Table_0[[#This Row],[Symbol]],"Industry")</f>
        <v>Banking Services</v>
      </c>
      <c r="E28" s="8">
        <v>0.70238199999999995</v>
      </c>
      <c r="F28" s="11">
        <v>31.99</v>
      </c>
      <c r="G28" s="11">
        <v>-0.69</v>
      </c>
      <c r="H28" s="13" t="s">
        <v>757</v>
      </c>
      <c r="I28" s="9" cm="1">
        <f t="array" ref="I28">_FV(Table_0[[#This Row],[Symbol]],"P/E",TRUE)</f>
        <v>10.3535</v>
      </c>
      <c r="J28" s="1" cm="1">
        <f t="array" ref="J28">_FV(Table_0[[#This Row],[Symbol]],"Market cap",TRUE)</f>
        <v>256597487520</v>
      </c>
    </row>
    <row r="29" spans="1:10" x14ac:dyDescent="0.25">
      <c r="A29">
        <v>26</v>
      </c>
      <c r="B29" t="s">
        <v>38</v>
      </c>
      <c r="C29" t="e" vm="26">
        <v>#VALUE!</v>
      </c>
      <c r="D29" t="str" cm="1">
        <f t="array" ref="D29">_FV(Table_0[[#This Row],[Symbol]],"Industry")</f>
        <v>Semiconductors &amp; Semiconductor Equipment</v>
      </c>
      <c r="E29" s="8">
        <v>0.699963</v>
      </c>
      <c r="F29" s="11">
        <v>548.63</v>
      </c>
      <c r="G29" s="11">
        <v>-12.61</v>
      </c>
      <c r="H29" s="13" t="s">
        <v>691</v>
      </c>
      <c r="I29" s="9" cm="1">
        <f t="array" ref="I29">_FV(Table_0[[#This Row],[Symbol]],"P/E",TRUE)</f>
        <v>21.1526</v>
      </c>
      <c r="J29" s="1" cm="1">
        <f t="array" ref="J29">_FV(Table_0[[#This Row],[Symbol]],"Market cap",TRUE)</f>
        <v>229262761612</v>
      </c>
    </row>
    <row r="30" spans="1:10" x14ac:dyDescent="0.25">
      <c r="A30">
        <v>27</v>
      </c>
      <c r="B30" t="s">
        <v>37</v>
      </c>
      <c r="C30" t="e" vm="27">
        <v>#VALUE!</v>
      </c>
      <c r="D30" t="str" cm="1">
        <f t="array" ref="D30">_FV(Table_0[[#This Row],[Symbol]],"Industry")</f>
        <v>Healthcare Equipment &amp; Supplies</v>
      </c>
      <c r="E30" s="8">
        <v>0.65203500000000003</v>
      </c>
      <c r="F30" s="11">
        <v>532.53</v>
      </c>
      <c r="G30" s="11">
        <v>-7.36</v>
      </c>
      <c r="H30" s="13" t="s">
        <v>622</v>
      </c>
      <c r="I30" s="9" cm="1">
        <f t="array" ref="I30">_FV(Table_0[[#This Row],[Symbol]],"P/E",TRUE)</f>
        <v>30.3444</v>
      </c>
      <c r="J30" s="1" cm="1">
        <f t="array" ref="J30">_FV(Table_0[[#This Row],[Symbol]],"Market cap",TRUE)</f>
        <v>208875532648</v>
      </c>
    </row>
    <row r="31" spans="1:10" x14ac:dyDescent="0.25">
      <c r="A31">
        <v>28</v>
      </c>
      <c r="B31" t="s">
        <v>35</v>
      </c>
      <c r="C31" t="e" vm="28">
        <v>#VALUE!</v>
      </c>
      <c r="D31" t="str" cm="1">
        <f t="array" ref="D31">_FV(Table_0[[#This Row],[Symbol]],"Industry")</f>
        <v>Food &amp; Drug Retailing</v>
      </c>
      <c r="E31" s="8">
        <v>0.63099300000000003</v>
      </c>
      <c r="F31" s="11">
        <v>142.47</v>
      </c>
      <c r="G31" s="11">
        <v>-2.71</v>
      </c>
      <c r="H31" s="13" t="s">
        <v>754</v>
      </c>
      <c r="I31" s="9" cm="1">
        <f t="array" ref="I31">_FV(Table_0[[#This Row],[Symbol]],"P/E",TRUE)</f>
        <v>44.860700000000001</v>
      </c>
      <c r="J31" s="1" cm="1">
        <f t="array" ref="J31">_FV(Table_0[[#This Row],[Symbol]],"Market cap",TRUE)</f>
        <v>384159159999</v>
      </c>
    </row>
    <row r="32" spans="1:10" x14ac:dyDescent="0.25">
      <c r="A32">
        <v>29</v>
      </c>
      <c r="B32" t="s">
        <v>33</v>
      </c>
      <c r="C32" t="e" vm="29">
        <v>#VALUE!</v>
      </c>
      <c r="D32" t="str" cm="1">
        <f t="array" ref="D32">_FV(Table_0[[#This Row],[Symbol]],"Industry")</f>
        <v>Diversified Retail</v>
      </c>
      <c r="E32" s="8">
        <v>0.62977099999999997</v>
      </c>
      <c r="F32" s="11">
        <v>455.17</v>
      </c>
      <c r="G32" s="11">
        <v>-6.9</v>
      </c>
      <c r="H32" s="13" t="s">
        <v>715</v>
      </c>
      <c r="I32" s="9" cm="1">
        <f t="array" ref="I32">_FV(Table_0[[#This Row],[Symbol]],"P/E",TRUE)</f>
        <v>34.924599999999998</v>
      </c>
      <c r="J32" s="1" cm="1">
        <f t="array" ref="J32">_FV(Table_0[[#This Row],[Symbol]],"Market cap",TRUE)</f>
        <v>202009792740</v>
      </c>
    </row>
    <row r="33" spans="1:10" x14ac:dyDescent="0.25">
      <c r="A33">
        <v>30</v>
      </c>
      <c r="B33" t="s">
        <v>39</v>
      </c>
      <c r="C33" t="e" vm="30">
        <v>#VALUE!</v>
      </c>
      <c r="D33" t="str" cm="1">
        <f t="array" ref="D33">_FV(Table_0[[#This Row],[Symbol]],"Industry")</f>
        <v>Hotels &amp; Entertainment Services</v>
      </c>
      <c r="E33" s="8">
        <v>0.60466900000000001</v>
      </c>
      <c r="F33" s="11">
        <v>264.47000000000003</v>
      </c>
      <c r="G33" s="11">
        <v>-3.69</v>
      </c>
      <c r="H33" s="13" t="s">
        <v>629</v>
      </c>
      <c r="I33" s="9" cm="1">
        <f t="array" ref="I33">_FV(Table_0[[#This Row],[Symbol]],"P/E",TRUE)</f>
        <v>33.778799999999997</v>
      </c>
      <c r="J33" s="1" cm="1">
        <f t="array" ref="J33">_FV(Table_0[[#This Row],[Symbol]],"Market cap",TRUE)</f>
        <v>193704148833</v>
      </c>
    </row>
    <row r="34" spans="1:10" x14ac:dyDescent="0.25">
      <c r="A34">
        <v>31</v>
      </c>
      <c r="B34" t="s">
        <v>40</v>
      </c>
      <c r="C34" t="e" vm="31">
        <v>#VALUE!</v>
      </c>
      <c r="D34" t="str" cm="1">
        <f t="array" ref="D34">_FV(Table_0[[#This Row],[Symbol]],"Industry")</f>
        <v>Communications &amp; Networking</v>
      </c>
      <c r="E34" s="8">
        <v>0.60260999999999998</v>
      </c>
      <c r="F34" s="11">
        <v>46.83</v>
      </c>
      <c r="G34" s="11">
        <v>-0.83</v>
      </c>
      <c r="H34" s="13" t="s">
        <v>722</v>
      </c>
      <c r="I34" s="9" cm="1">
        <f t="array" ref="I34">_FV(Table_0[[#This Row],[Symbol]],"P/E",TRUE)</f>
        <v>17.249199999999998</v>
      </c>
      <c r="J34" s="1" cm="1">
        <f t="array" ref="J34">_FV(Table_0[[#This Row],[Symbol]],"Market cap",TRUE)</f>
        <v>192366031078</v>
      </c>
    </row>
    <row r="35" spans="1:10" x14ac:dyDescent="0.25">
      <c r="A35">
        <v>32</v>
      </c>
      <c r="B35" t="s">
        <v>41</v>
      </c>
      <c r="C35" t="e" vm="32">
        <v>#VALUE!</v>
      </c>
      <c r="D35" t="str" cm="1">
        <f t="array" ref="D35">_FV(Table_0[[#This Row],[Symbol]],"Industry")</f>
        <v>Healthcare Equipment &amp; Supplies</v>
      </c>
      <c r="E35" s="8">
        <v>0.58042199999999999</v>
      </c>
      <c r="F35" s="11">
        <v>106.7</v>
      </c>
      <c r="G35" s="11">
        <v>-1.44</v>
      </c>
      <c r="H35" s="13" t="s">
        <v>763</v>
      </c>
      <c r="I35" s="9" cm="1">
        <f t="array" ref="I35">_FV(Table_0[[#This Row],[Symbol]],"P/E",TRUE)</f>
        <v>24.291799999999999</v>
      </c>
      <c r="J35" s="1" cm="1">
        <f t="array" ref="J35">_FV(Table_0[[#This Row],[Symbol]],"Market cap",TRUE)</f>
        <v>185969602840</v>
      </c>
    </row>
    <row r="36" spans="1:10" x14ac:dyDescent="0.25">
      <c r="A36">
        <v>33</v>
      </c>
      <c r="B36" t="s">
        <v>45</v>
      </c>
      <c r="C36" t="e" vm="33">
        <v>#VALUE!</v>
      </c>
      <c r="D36" t="str" cm="1">
        <f t="array" ref="D36">_FV(Table_0[[#This Row],[Symbol]],"Industry")</f>
        <v>Healthcare Equipment &amp; Supplies</v>
      </c>
      <c r="E36" s="8">
        <v>0.52653099999999997</v>
      </c>
      <c r="F36" s="11">
        <v>255.8</v>
      </c>
      <c r="G36" s="11">
        <v>-5.18</v>
      </c>
      <c r="H36" s="13" t="s">
        <v>658</v>
      </c>
      <c r="I36" s="9" cm="1">
        <f t="array" ref="I36">_FV(Table_0[[#This Row],[Symbol]],"P/E",TRUE)</f>
        <v>28.808900000000001</v>
      </c>
      <c r="J36" s="1" cm="1">
        <f t="array" ref="J36">_FV(Table_0[[#This Row],[Symbol]],"Market cap",TRUE)</f>
        <v>186220138287</v>
      </c>
    </row>
    <row r="37" spans="1:10" x14ac:dyDescent="0.25">
      <c r="A37">
        <v>34</v>
      </c>
      <c r="B37" t="s">
        <v>42</v>
      </c>
      <c r="C37" t="e" vm="34">
        <v>#VALUE!</v>
      </c>
      <c r="D37" t="str" cm="1">
        <f t="array" ref="D37">_FV(Table_0[[#This Row],[Symbol]],"Industry")</f>
        <v>Software &amp; IT Services</v>
      </c>
      <c r="E37" s="8">
        <v>0.52112599999999998</v>
      </c>
      <c r="F37" s="11">
        <v>262.17</v>
      </c>
      <c r="G37" s="11">
        <v>-6.76</v>
      </c>
      <c r="H37" s="13" t="s">
        <v>787</v>
      </c>
      <c r="I37" s="9" cm="1">
        <f t="array" ref="I37">_FV(Table_0[[#This Row],[Symbol]],"P/E",TRUE)</f>
        <v>24.417000000000002</v>
      </c>
      <c r="J37" s="1" cm="1">
        <f t="array" ref="J37">_FV(Table_0[[#This Row],[Symbol]],"Market cap",TRUE)</f>
        <v>172557041964</v>
      </c>
    </row>
    <row r="38" spans="1:10" x14ac:dyDescent="0.25">
      <c r="A38">
        <v>35</v>
      </c>
      <c r="B38" t="s">
        <v>48</v>
      </c>
      <c r="C38" t="e" vm="35">
        <v>#VALUE!</v>
      </c>
      <c r="D38" t="str" cm="1">
        <f t="array" ref="D38">_FV(Table_0[[#This Row],[Symbol]],"Industry")</f>
        <v>Electrical Utilities &amp; IPPs</v>
      </c>
      <c r="E38" s="8">
        <v>0.51799700000000004</v>
      </c>
      <c r="F38" s="11">
        <v>82.69</v>
      </c>
      <c r="G38" s="11">
        <v>-1.96</v>
      </c>
      <c r="H38" s="13" t="s">
        <v>647</v>
      </c>
      <c r="I38" s="9" cm="1">
        <f t="array" ref="I38">_FV(Table_0[[#This Row],[Symbol]],"P/E",TRUE)</f>
        <v>43.7102</v>
      </c>
      <c r="J38" s="1" cm="1">
        <f t="array" ref="J38">_FV(Table_0[[#This Row],[Symbol]],"Market cap",TRUE)</f>
        <v>164318591160</v>
      </c>
    </row>
    <row r="39" spans="1:10" x14ac:dyDescent="0.25">
      <c r="A39">
        <v>36</v>
      </c>
      <c r="B39" t="s">
        <v>47</v>
      </c>
      <c r="C39" t="e" vm="36">
        <v>#VALUE!</v>
      </c>
      <c r="D39" t="str" cm="1">
        <f t="array" ref="D39">_FV(Table_0[[#This Row],[Symbol]],"Industry")</f>
        <v>Chemicals</v>
      </c>
      <c r="E39" s="8">
        <v>0.50036599999999998</v>
      </c>
      <c r="F39" s="11">
        <v>323.31</v>
      </c>
      <c r="G39" s="11">
        <v>-5.36</v>
      </c>
      <c r="H39" s="13" t="s">
        <v>650</v>
      </c>
      <c r="I39" s="9" cm="1">
        <f t="array" ref="I39">_FV(Table_0[[#This Row],[Symbol]],"P/E",TRUE)</f>
        <v>43.506399999999999</v>
      </c>
      <c r="J39" s="1" cm="1">
        <f t="array" ref="J39">_FV(Table_0[[#This Row],[Symbol]],"Market cap",TRUE)</f>
        <v>159249799917</v>
      </c>
    </row>
    <row r="40" spans="1:10" x14ac:dyDescent="0.25">
      <c r="A40">
        <v>37</v>
      </c>
      <c r="B40" t="s">
        <v>53</v>
      </c>
      <c r="C40" t="e" vm="37">
        <v>#VALUE!</v>
      </c>
      <c r="D40" t="str" cm="1">
        <f t="array" ref="D40">_FV(Table_0[[#This Row],[Symbol]],"Industry")</f>
        <v>Software &amp; IT Services</v>
      </c>
      <c r="E40" s="8">
        <v>0.490255</v>
      </c>
      <c r="F40" s="11">
        <v>332.88</v>
      </c>
      <c r="G40" s="11">
        <v>-8.51</v>
      </c>
      <c r="H40" s="13" t="s">
        <v>673</v>
      </c>
      <c r="I40" s="9" cm="1">
        <f t="array" ref="I40">_FV(Table_0[[#This Row],[Symbol]],"P/E",TRUE)</f>
        <v>33.794899999999998</v>
      </c>
      <c r="J40" s="1" cm="1">
        <f t="array" ref="J40">_FV(Table_0[[#This Row],[Symbol]],"Market cap",TRUE)</f>
        <v>154753587500</v>
      </c>
    </row>
    <row r="41" spans="1:10" x14ac:dyDescent="0.25">
      <c r="A41">
        <v>38</v>
      </c>
      <c r="B41" t="s">
        <v>49</v>
      </c>
      <c r="C41" t="e" vm="38">
        <v>#VALUE!</v>
      </c>
      <c r="D41" t="str" cm="1">
        <f t="array" ref="D41">_FV(Table_0[[#This Row],[Symbol]],"Industry")</f>
        <v>Telecommunications Services</v>
      </c>
      <c r="E41" s="8">
        <v>0.48860599999999998</v>
      </c>
      <c r="F41" s="11">
        <v>37.39</v>
      </c>
      <c r="G41" s="11">
        <v>-0.39</v>
      </c>
      <c r="H41" s="13" t="s">
        <v>361</v>
      </c>
      <c r="I41" s="9" cm="1">
        <f t="array" ref="I41">_FV(Table_0[[#This Row],[Symbol]],"P/E",TRUE)</f>
        <v>8.2152999999999992</v>
      </c>
      <c r="J41" s="1" cm="1">
        <f t="array" ref="J41">_FV(Table_0[[#This Row],[Symbol]],"Market cap",TRUE)</f>
        <v>157010158545</v>
      </c>
    </row>
    <row r="42" spans="1:10" x14ac:dyDescent="0.25">
      <c r="A42">
        <v>39</v>
      </c>
      <c r="B42" t="s">
        <v>44</v>
      </c>
      <c r="C42" t="e" vm="39">
        <v>#VALUE!</v>
      </c>
      <c r="D42" t="str" cm="1">
        <f t="array" ref="D42">_FV(Table_0[[#This Row],[Symbol]],"Industry")</f>
        <v>Media &amp; Publishing</v>
      </c>
      <c r="E42" s="8">
        <v>0.48796200000000001</v>
      </c>
      <c r="F42" s="11">
        <v>84.78</v>
      </c>
      <c r="G42" s="11">
        <v>-2.14</v>
      </c>
      <c r="H42" s="13" t="s">
        <v>743</v>
      </c>
      <c r="I42" s="9" cm="1">
        <f t="array" ref="I42">_FV(Table_0[[#This Row],[Symbol]],"P/E",TRUE)</f>
        <v>49.723100000000002</v>
      </c>
      <c r="J42" s="1" cm="1">
        <f t="array" ref="J42">_FV(Table_0[[#This Row],[Symbol]],"Market cap",TRUE)</f>
        <v>154604129760</v>
      </c>
    </row>
    <row r="43" spans="1:10" x14ac:dyDescent="0.25">
      <c r="A43">
        <v>40</v>
      </c>
      <c r="B43" t="s">
        <v>43</v>
      </c>
      <c r="C43" t="e" vm="40">
        <v>#VALUE!</v>
      </c>
      <c r="D43" t="str" cm="1">
        <f t="array" ref="D43">_FV(Table_0[[#This Row],[Symbol]],"Industry")</f>
        <v>Banking Services</v>
      </c>
      <c r="E43" s="8">
        <v>0.48250300000000002</v>
      </c>
      <c r="F43" s="11">
        <v>40.1</v>
      </c>
      <c r="G43" s="11">
        <v>-1.02</v>
      </c>
      <c r="H43" s="13" t="s">
        <v>784</v>
      </c>
      <c r="I43" s="9" cm="1">
        <f t="array" ref="I43">_FV(Table_0[[#This Row],[Symbol]],"P/E",TRUE)</f>
        <v>10.6805</v>
      </c>
      <c r="J43" s="1" cm="1">
        <f t="array" ref="J43">_FV(Table_0[[#This Row],[Symbol]],"Market cap",TRUE)</f>
        <v>152800689100</v>
      </c>
    </row>
    <row r="44" spans="1:10" x14ac:dyDescent="0.25">
      <c r="A44">
        <v>41</v>
      </c>
      <c r="B44" t="s">
        <v>46</v>
      </c>
      <c r="C44" t="e" vm="41">
        <v>#VALUE!</v>
      </c>
      <c r="D44" t="str" cm="1">
        <f t="array" ref="D44">_FV(Table_0[[#This Row],[Symbol]],"Industry")</f>
        <v>Pharmaceuticals</v>
      </c>
      <c r="E44" s="8">
        <v>0.47989799999999999</v>
      </c>
      <c r="F44" s="11">
        <v>73.27</v>
      </c>
      <c r="G44" s="11">
        <v>-0.06</v>
      </c>
      <c r="H44" s="13" t="s">
        <v>57</v>
      </c>
      <c r="I44" s="9" cm="1">
        <f t="array" ref="I44">_FV(Table_0[[#This Row],[Symbol]],"P/E",TRUE)</f>
        <v>23.901599999999998</v>
      </c>
      <c r="J44" s="1" cm="1">
        <f t="array" ref="J44">_FV(Table_0[[#This Row],[Symbol]],"Market cap",TRUE)</f>
        <v>155783743200</v>
      </c>
    </row>
    <row r="45" spans="1:10" x14ac:dyDescent="0.25">
      <c r="A45">
        <v>42</v>
      </c>
      <c r="B45" t="s">
        <v>55</v>
      </c>
      <c r="C45" t="e" vm="42">
        <v>#VALUE!</v>
      </c>
      <c r="D45" t="str" cm="1">
        <f t="array" ref="D45">_FV(Table_0[[#This Row],[Symbol]],"Industry")</f>
        <v>Food &amp; Tobacco</v>
      </c>
      <c r="E45" s="8">
        <v>0.479852</v>
      </c>
      <c r="F45" s="11">
        <v>100.08</v>
      </c>
      <c r="G45" s="11">
        <v>-0.44</v>
      </c>
      <c r="H45" s="13" t="s">
        <v>461</v>
      </c>
      <c r="I45" s="9" cm="1">
        <f t="array" ref="I45">_FV(Table_0[[#This Row],[Symbol]],"P/E",TRUE)</f>
        <v>17.904499999999999</v>
      </c>
      <c r="J45" s="1" cm="1">
        <f t="array" ref="J45">_FV(Table_0[[#This Row],[Symbol]],"Market cap",TRUE)</f>
        <v>155144216160</v>
      </c>
    </row>
    <row r="46" spans="1:10" x14ac:dyDescent="0.25">
      <c r="A46">
        <v>43</v>
      </c>
      <c r="B46" t="s">
        <v>50</v>
      </c>
      <c r="C46" t="e" vm="43">
        <v>#VALUE!</v>
      </c>
      <c r="D46" t="str" cm="1">
        <f t="array" ref="D46">_FV(Table_0[[#This Row],[Symbol]],"Industry")</f>
        <v>Semiconductors &amp; Semiconductor Equipment</v>
      </c>
      <c r="E46" s="8">
        <v>0.47310999999999998</v>
      </c>
      <c r="F46" s="11">
        <v>161.59</v>
      </c>
      <c r="G46" s="11">
        <v>-7.14</v>
      </c>
      <c r="H46" s="13" t="s">
        <v>855</v>
      </c>
      <c r="I46" s="9" cm="1">
        <f t="array" ref="I46">_FV(Table_0[[#This Row],[Symbol]],"P/E",TRUE)</f>
        <v>17.670500000000001</v>
      </c>
      <c r="J46" s="1" cm="1">
        <f t="array" ref="J46">_FV(Table_0[[#This Row],[Symbol]],"Market cap",TRUE)</f>
        <v>146631821710</v>
      </c>
    </row>
    <row r="47" spans="1:10" x14ac:dyDescent="0.25">
      <c r="A47">
        <v>44</v>
      </c>
      <c r="B47" t="s">
        <v>52</v>
      </c>
      <c r="C47" t="e" vm="44">
        <v>#VALUE!</v>
      </c>
      <c r="D47" t="str" cm="1">
        <f t="array" ref="D47">_FV(Table_0[[#This Row],[Symbol]],"Industry")</f>
        <v>Telecommunications Services</v>
      </c>
      <c r="E47" s="8">
        <v>0.46601799999999999</v>
      </c>
      <c r="F47" s="11">
        <v>34.46</v>
      </c>
      <c r="G47" s="11">
        <v>-0.63</v>
      </c>
      <c r="H47" s="13" t="s">
        <v>656</v>
      </c>
      <c r="I47" s="9" cm="1">
        <f t="array" ref="I47">_FV(Table_0[[#This Row],[Symbol]],"P/E",TRUE)</f>
        <v>30.503</v>
      </c>
      <c r="J47" s="1" cm="1">
        <f t="array" ref="J47">_FV(Table_0[[#This Row],[Symbol]],"Market cap",TRUE)</f>
        <v>148984674140</v>
      </c>
    </row>
    <row r="48" spans="1:10" x14ac:dyDescent="0.25">
      <c r="A48">
        <v>45</v>
      </c>
      <c r="B48" t="s">
        <v>59</v>
      </c>
      <c r="C48" t="e" vm="45">
        <v>#VALUE!</v>
      </c>
      <c r="D48" t="str" cm="1">
        <f t="array" ref="D48">_FV(Table_0[[#This Row],[Symbol]],"Industry")</f>
        <v>Aerospace &amp; Defense</v>
      </c>
      <c r="E48" s="8">
        <v>0.452019</v>
      </c>
      <c r="F48" s="11">
        <v>97.54</v>
      </c>
      <c r="G48" s="11">
        <v>-2.2200000000000002</v>
      </c>
      <c r="H48" s="13" t="s">
        <v>724</v>
      </c>
      <c r="I48" s="9" cm="1">
        <f t="array" ref="I48">_FV(Table_0[[#This Row],[Symbol]],"P/E",TRUE)</f>
        <v>33.267499999999998</v>
      </c>
      <c r="J48" s="1" cm="1">
        <f t="array" ref="J48">_FV(Table_0[[#This Row],[Symbol]],"Market cap",TRUE)</f>
        <v>143389749940</v>
      </c>
    </row>
    <row r="49" spans="1:10" x14ac:dyDescent="0.25">
      <c r="A49">
        <v>46</v>
      </c>
      <c r="B49" t="s">
        <v>63</v>
      </c>
      <c r="C49" t="e" vm="46">
        <v>#VALUE!</v>
      </c>
      <c r="D49" t="str" cm="1">
        <f t="array" ref="D49">_FV(Table_0[[#This Row],[Symbol]],"Industry")</f>
        <v>Textiles &amp; Apparel</v>
      </c>
      <c r="E49" s="8">
        <v>0.44895099999999999</v>
      </c>
      <c r="F49" s="11">
        <v>115.89</v>
      </c>
      <c r="G49" s="11">
        <v>0.11</v>
      </c>
      <c r="H49" s="13" t="s">
        <v>418</v>
      </c>
      <c r="I49" s="9" cm="1">
        <f t="array" ref="I49">_FV(Table_0[[#This Row],[Symbol]],"P/E",TRUE)</f>
        <v>32.660800000000002</v>
      </c>
      <c r="J49" s="1" cm="1">
        <f t="array" ref="J49">_FV(Table_0[[#This Row],[Symbol]],"Market cap",TRUE)</f>
        <v>181336096900</v>
      </c>
    </row>
    <row r="50" spans="1:10" x14ac:dyDescent="0.25">
      <c r="A50">
        <v>47</v>
      </c>
      <c r="B50" t="s">
        <v>51</v>
      </c>
      <c r="C50" t="e" vm="47">
        <v>#VALUE!</v>
      </c>
      <c r="D50" t="str" cm="1">
        <f t="array" ref="D50">_FV(Table_0[[#This Row],[Symbol]],"Industry")</f>
        <v>Oil &amp; Gas</v>
      </c>
      <c r="E50" s="8">
        <v>0.446183</v>
      </c>
      <c r="F50" s="11">
        <v>112.17</v>
      </c>
      <c r="G50" s="11">
        <v>-4.1100000000000003</v>
      </c>
      <c r="H50" s="13" t="s">
        <v>820</v>
      </c>
      <c r="I50" s="9" cm="1">
        <f t="array" ref="I50">_FV(Table_0[[#This Row],[Symbol]],"P/E",TRUE)</f>
        <v>8.3468999999999998</v>
      </c>
      <c r="J50" s="1" cm="1">
        <f t="array" ref="J50">_FV(Table_0[[#This Row],[Symbol]],"Market cap",TRUE)</f>
        <v>139746862650</v>
      </c>
    </row>
    <row r="51" spans="1:10" x14ac:dyDescent="0.25">
      <c r="A51">
        <v>48</v>
      </c>
      <c r="B51" t="s">
        <v>58</v>
      </c>
      <c r="C51" t="e" vm="48">
        <v>#VALUE!</v>
      </c>
      <c r="D51" t="str" cm="1">
        <f t="array" ref="D51">_FV(Table_0[[#This Row],[Symbol]],"Industry")</f>
        <v>Consumer Goods Conglomerates</v>
      </c>
      <c r="E51" s="8">
        <v>0.44468600000000003</v>
      </c>
      <c r="F51" s="11">
        <v>210</v>
      </c>
      <c r="G51" s="11">
        <v>-5.0999999999999996</v>
      </c>
      <c r="H51" s="13" t="s">
        <v>765</v>
      </c>
      <c r="I51" s="9" cm="1">
        <f t="array" ref="I51">_FV(Table_0[[#This Row],[Symbol]],"P/E",TRUE)</f>
        <v>27.5139</v>
      </c>
      <c r="J51" s="1" cm="1">
        <f t="array" ref="J51">_FV(Table_0[[#This Row],[Symbol]],"Market cap",TRUE)</f>
        <v>141187662000</v>
      </c>
    </row>
    <row r="52" spans="1:10" x14ac:dyDescent="0.25">
      <c r="A52">
        <v>49</v>
      </c>
      <c r="B52" t="s">
        <v>56</v>
      </c>
      <c r="C52" t="e" vm="49">
        <v>#VALUE!</v>
      </c>
      <c r="D52" t="str" cm="1">
        <f t="array" ref="D52">_FV(Table_0[[#This Row],[Symbol]],"Industry")</f>
        <v>Pharmaceuticals</v>
      </c>
      <c r="E52" s="8">
        <v>0.43709199999999998</v>
      </c>
      <c r="F52" s="11">
        <v>264.37</v>
      </c>
      <c r="G52" s="11">
        <v>-1.89</v>
      </c>
      <c r="H52" s="13" t="s">
        <v>588</v>
      </c>
      <c r="I52" s="9" cm="1">
        <f t="array" ref="I52">_FV(Table_0[[#This Row],[Symbol]],"P/E",TRUE)</f>
        <v>21.3323</v>
      </c>
      <c r="J52" s="1" cm="1">
        <f t="array" ref="J52">_FV(Table_0[[#This Row],[Symbol]],"Market cap",TRUE)</f>
        <v>141062333104</v>
      </c>
    </row>
    <row r="53" spans="1:10" x14ac:dyDescent="0.25">
      <c r="A53">
        <v>50</v>
      </c>
      <c r="B53" t="s">
        <v>69</v>
      </c>
      <c r="C53" t="e" vm="50">
        <v>#VALUE!</v>
      </c>
      <c r="D53" t="str" cm="1">
        <f t="array" ref="D53">_FV(Table_0[[#This Row],[Symbol]],"Industry")</f>
        <v>Software &amp; IT Services</v>
      </c>
      <c r="E53" s="8">
        <v>0.40832499999999999</v>
      </c>
      <c r="F53" s="11">
        <v>291.41000000000003</v>
      </c>
      <c r="G53" s="11">
        <v>-6.55</v>
      </c>
      <c r="H53" s="13" t="s">
        <v>686</v>
      </c>
      <c r="I53" s="9" cm="1">
        <f t="array" ref="I53">_FV(Table_0[[#This Row],[Symbol]],"P/E",TRUE)</f>
        <v>28.093599999999999</v>
      </c>
      <c r="J53" s="1" cm="1">
        <f t="array" ref="J53">_FV(Table_0[[#This Row],[Symbol]],"Market cap",TRUE)</f>
        <v>129714575340</v>
      </c>
    </row>
    <row r="54" spans="1:10" x14ac:dyDescent="0.25">
      <c r="A54">
        <v>51</v>
      </c>
      <c r="B54" t="s">
        <v>54</v>
      </c>
      <c r="C54" t="e" vm="51">
        <v>#VALUE!</v>
      </c>
      <c r="D54" t="str" cm="1">
        <f t="array" ref="D54">_FV(Table_0[[#This Row],[Symbol]],"Industry")</f>
        <v>Software &amp; IT Services</v>
      </c>
      <c r="E54" s="8">
        <v>0.40124599999999999</v>
      </c>
      <c r="F54" s="11">
        <v>126.83</v>
      </c>
      <c r="G54" s="11">
        <v>-3.47</v>
      </c>
      <c r="H54" s="13" t="s">
        <v>677</v>
      </c>
      <c r="I54" s="9" cm="1">
        <f t="array" ref="I54">_FV(Table_0[[#This Row],[Symbol]],"P/E",TRUE)</f>
        <v>469.6003</v>
      </c>
      <c r="J54" s="1" cm="1">
        <f t="array" ref="J54">_FV(Table_0[[#This Row],[Symbol]],"Market cap",TRUE)</f>
        <v>126830000000</v>
      </c>
    </row>
    <row r="55" spans="1:10" x14ac:dyDescent="0.25">
      <c r="A55">
        <v>52</v>
      </c>
      <c r="B55" t="s">
        <v>61</v>
      </c>
      <c r="C55" t="e" vm="52">
        <v>#VALUE!</v>
      </c>
      <c r="D55" t="str" cm="1">
        <f t="array" ref="D55">_FV(Table_0[[#This Row],[Symbol]],"Industry")</f>
        <v>Telecommunications Services</v>
      </c>
      <c r="E55" s="8">
        <v>0.39833600000000002</v>
      </c>
      <c r="F55" s="11">
        <v>17.97</v>
      </c>
      <c r="G55" s="11">
        <v>-0.18</v>
      </c>
      <c r="H55" s="13" t="s">
        <v>621</v>
      </c>
      <c r="I55" s="9" cm="1">
        <f t="array" ref="I55">_FV(Table_0[[#This Row],[Symbol]],"P/E",TRUE)</f>
        <v>6.6795999999999998</v>
      </c>
      <c r="J55" s="1" cm="1">
        <f t="array" ref="J55">_FV(Table_0[[#This Row],[Symbol]],"Market cap",TRUE)</f>
        <v>129355000000</v>
      </c>
    </row>
    <row r="56" spans="1:10" x14ac:dyDescent="0.25">
      <c r="A56">
        <v>53</v>
      </c>
      <c r="B56" t="s">
        <v>66</v>
      </c>
      <c r="C56" t="e" vm="53">
        <v>#VALUE!</v>
      </c>
      <c r="D56" t="str" cm="1">
        <f t="array" ref="D56">_FV(Table_0[[#This Row],[Symbol]],"Industry")</f>
        <v>Freight &amp; Logistics Services</v>
      </c>
      <c r="E56" s="8">
        <v>0.39629900000000001</v>
      </c>
      <c r="F56" s="11">
        <v>173.55</v>
      </c>
      <c r="G56" s="11">
        <v>-3.13</v>
      </c>
      <c r="H56" s="13" t="s">
        <v>741</v>
      </c>
      <c r="I56" s="9" cm="1">
        <f t="array" ref="I56">_FV(Table_0[[#This Row],[Symbol]],"P/E",TRUE)</f>
        <v>13.83</v>
      </c>
      <c r="J56" s="1" cm="1">
        <f t="array" ref="J56">_FV(Table_0[[#This Row],[Symbol]],"Market cap",TRUE)</f>
        <v>150106553610</v>
      </c>
    </row>
    <row r="57" spans="1:10" x14ac:dyDescent="0.25">
      <c r="A57">
        <v>54</v>
      </c>
      <c r="B57" t="s">
        <v>64</v>
      </c>
      <c r="C57" t="e" vm="54">
        <v>#VALUE!</v>
      </c>
      <c r="D57" t="str" cm="1">
        <f t="array" ref="D57">_FV(Table_0[[#This Row],[Symbol]],"Industry")</f>
        <v>Software &amp; IT Services</v>
      </c>
      <c r="E57" s="8">
        <v>0.39574300000000001</v>
      </c>
      <c r="F57" s="11">
        <v>139.38</v>
      </c>
      <c r="G57" s="11">
        <v>-2.77</v>
      </c>
      <c r="H57" s="13" t="s">
        <v>701</v>
      </c>
      <c r="I57" s="9" cm="1">
        <f t="array" ref="I57">_FV(Table_0[[#This Row],[Symbol]],"P/E",TRUE)</f>
        <v>87.763499999999993</v>
      </c>
      <c r="J57" s="1" cm="1">
        <f t="array" ref="J57">_FV(Table_0[[#This Row],[Symbol]],"Market cap",TRUE)</f>
        <v>126012603062</v>
      </c>
    </row>
    <row r="58" spans="1:10" x14ac:dyDescent="0.25">
      <c r="A58">
        <v>55</v>
      </c>
      <c r="B58" t="s">
        <v>60</v>
      </c>
      <c r="C58" t="e" vm="55">
        <v>#VALUE!</v>
      </c>
      <c r="D58" t="str" cm="1">
        <f t="array" ref="D58">_FV(Table_0[[#This Row],[Symbol]],"Industry")</f>
        <v>Semiconductors &amp; Semiconductor Equipment</v>
      </c>
      <c r="E58" s="8">
        <v>0.394901</v>
      </c>
      <c r="F58" s="11">
        <v>107.47</v>
      </c>
      <c r="G58" s="11">
        <v>-7.12</v>
      </c>
      <c r="H58" s="13" t="s">
        <v>726</v>
      </c>
      <c r="I58" s="9" cm="1">
        <f t="array" ref="I58">_FV(Table_0[[#This Row],[Symbol]],"P/E",TRUE)</f>
        <v>10.030900000000001</v>
      </c>
      <c r="J58" s="1" cm="1">
        <f t="array" ref="J58">_FV(Table_0[[#This Row],[Symbol]],"Market cap",TRUE)</f>
        <v>120473870000</v>
      </c>
    </row>
    <row r="59" spans="1:10" x14ac:dyDescent="0.25">
      <c r="A59">
        <v>56</v>
      </c>
      <c r="B59" t="s">
        <v>68</v>
      </c>
      <c r="C59" t="e" vm="56">
        <v>#VALUE!</v>
      </c>
      <c r="D59" t="str" cm="1">
        <f t="array" ref="D59">_FV(Table_0[[#This Row],[Symbol]],"Industry")</f>
        <v>Freight &amp; Logistics Services</v>
      </c>
      <c r="E59" s="8">
        <v>0.39458599999999999</v>
      </c>
      <c r="F59" s="11">
        <v>206.15</v>
      </c>
      <c r="G59" s="11">
        <v>-2.27</v>
      </c>
      <c r="H59" s="13" t="s">
        <v>755</v>
      </c>
      <c r="I59" s="9" cm="1">
        <f t="array" ref="I59">_FV(Table_0[[#This Row],[Symbol]],"P/E",TRUE)</f>
        <v>18.584399999999999</v>
      </c>
      <c r="J59" s="1" cm="1">
        <f t="array" ref="J59">_FV(Table_0[[#This Row],[Symbol]],"Market cap",TRUE)</f>
        <v>126713826284</v>
      </c>
    </row>
    <row r="60" spans="1:10" x14ac:dyDescent="0.25">
      <c r="A60">
        <v>57</v>
      </c>
      <c r="B60" t="s">
        <v>72</v>
      </c>
      <c r="C60" t="e" vm="57">
        <v>#VALUE!</v>
      </c>
      <c r="D60" t="str" cm="1">
        <f t="array" ref="D60">_FV(Table_0[[#This Row],[Symbol]],"Industry")</f>
        <v>Machinery, Equipment &amp; Components</v>
      </c>
      <c r="E60" s="8">
        <v>0.38738499999999998</v>
      </c>
      <c r="F60" s="11">
        <v>234.38</v>
      </c>
      <c r="G60" s="11">
        <v>-7.35</v>
      </c>
      <c r="H60" s="13" t="s">
        <v>698</v>
      </c>
      <c r="I60" s="9" cm="1">
        <f t="array" ref="I60">_FV(Table_0[[#This Row],[Symbol]],"P/E",TRUE)</f>
        <v>17.655799999999999</v>
      </c>
      <c r="J60" s="1" cm="1">
        <f t="array" ref="J60">_FV(Table_0[[#This Row],[Symbol]],"Market cap",TRUE)</f>
        <v>121973555172</v>
      </c>
    </row>
    <row r="61" spans="1:10" x14ac:dyDescent="0.25">
      <c r="A61">
        <v>58</v>
      </c>
      <c r="B61" t="s">
        <v>62</v>
      </c>
      <c r="C61" t="e" vm="58">
        <v>#VALUE!</v>
      </c>
      <c r="D61" t="str" cm="1">
        <f t="array" ref="D61">_FV(Table_0[[#This Row],[Symbol]],"Industry")</f>
        <v>Specialty Retailers</v>
      </c>
      <c r="E61" s="8">
        <v>0.38692300000000002</v>
      </c>
      <c r="F61" s="11">
        <v>196.04</v>
      </c>
      <c r="G61" s="11">
        <v>-6.39</v>
      </c>
      <c r="H61" s="13" t="s">
        <v>852</v>
      </c>
      <c r="I61" s="9" cm="1">
        <f t="array" ref="I61">_FV(Table_0[[#This Row],[Symbol]],"P/E",TRUE)</f>
        <v>19.849299999999999</v>
      </c>
      <c r="J61" s="1" cm="1">
        <f t="array" ref="J61">_FV(Table_0[[#This Row],[Symbol]],"Market cap",TRUE)</f>
        <v>122409900000</v>
      </c>
    </row>
    <row r="62" spans="1:10" x14ac:dyDescent="0.25">
      <c r="A62">
        <v>59</v>
      </c>
      <c r="B62" t="s">
        <v>70</v>
      </c>
      <c r="C62" t="e" vm="59">
        <v>#VALUE!</v>
      </c>
      <c r="D62" t="str" cm="1">
        <f t="array" ref="D62">_FV(Table_0[[#This Row],[Symbol]],"Industry")</f>
        <v>Software &amp; IT Services</v>
      </c>
      <c r="E62" s="8">
        <v>0.38569799999999999</v>
      </c>
      <c r="F62" s="11">
        <v>79.8</v>
      </c>
      <c r="G62" s="11">
        <v>-1.7</v>
      </c>
      <c r="H62" s="13" t="s">
        <v>703</v>
      </c>
      <c r="I62" s="9" cm="1">
        <f t="array" ref="I62">_FV(Table_0[[#This Row],[Symbol]],"P/E",TRUE)</f>
        <v>25.454799999999999</v>
      </c>
      <c r="J62" s="1" cm="1">
        <f t="array" ref="J62">_FV(Table_0[[#This Row],[Symbol]],"Market cap",TRUE)</f>
        <v>215187951930</v>
      </c>
    </row>
    <row r="63" spans="1:10" x14ac:dyDescent="0.25">
      <c r="A63">
        <v>60</v>
      </c>
      <c r="B63" t="s">
        <v>65</v>
      </c>
      <c r="C63" t="e" vm="60">
        <v>#VALUE!</v>
      </c>
      <c r="D63" t="str" cm="1">
        <f t="array" ref="D63">_FV(Table_0[[#This Row],[Symbol]],"Industry")</f>
        <v>Healthcare Providers &amp; Services</v>
      </c>
      <c r="E63" s="8">
        <v>0.380832</v>
      </c>
      <c r="F63" s="11">
        <v>93.12</v>
      </c>
      <c r="G63" s="11">
        <v>-1</v>
      </c>
      <c r="H63" s="13" t="s">
        <v>626</v>
      </c>
      <c r="I63" s="9" cm="1">
        <f t="array" ref="I63">_FV(Table_0[[#This Row],[Symbol]],"P/E",TRUE)</f>
        <v>39.996099999999998</v>
      </c>
      <c r="J63" s="1" cm="1">
        <f t="array" ref="J63">_FV(Table_0[[#This Row],[Symbol]],"Market cap",TRUE)</f>
        <v>122357658213</v>
      </c>
    </row>
    <row r="64" spans="1:10" x14ac:dyDescent="0.25">
      <c r="A64">
        <v>61</v>
      </c>
      <c r="B64" t="s">
        <v>74</v>
      </c>
      <c r="C64" t="e" vm="61">
        <v>#VALUE!</v>
      </c>
      <c r="D64" t="str" cm="1">
        <f t="array" ref="D64">_FV(Table_0[[#This Row],[Symbol]],"Industry")</f>
        <v>Investment Banking &amp; Investment Services</v>
      </c>
      <c r="E64" s="8">
        <v>0.38070999999999999</v>
      </c>
      <c r="F64" s="11">
        <v>80.13</v>
      </c>
      <c r="G64" s="11">
        <v>-1.1200000000000001</v>
      </c>
      <c r="H64" s="13" t="s">
        <v>629</v>
      </c>
      <c r="I64" s="9" cm="1">
        <f t="array" ref="I64">_FV(Table_0[[#This Row],[Symbol]],"P/E",TRUE)</f>
        <v>24.671500000000002</v>
      </c>
      <c r="J64" s="1" cm="1">
        <f t="array" ref="J64">_FV(Table_0[[#This Row],[Symbol]],"Market cap",TRUE)</f>
        <v>151672600000</v>
      </c>
    </row>
    <row r="65" spans="1:10" x14ac:dyDescent="0.25">
      <c r="A65">
        <v>62</v>
      </c>
      <c r="B65" t="s">
        <v>71</v>
      </c>
      <c r="C65" t="e" vm="62">
        <v>#VALUE!</v>
      </c>
      <c r="D65" t="str" cm="1">
        <f t="array" ref="D65">_FV(Table_0[[#This Row],[Symbol]],"Industry")</f>
        <v>Healthcare Providers &amp; Services</v>
      </c>
      <c r="E65" s="8">
        <v>0.37629800000000002</v>
      </c>
      <c r="F65" s="11">
        <v>508.58</v>
      </c>
      <c r="G65" s="11">
        <v>-2.2599999999999998</v>
      </c>
      <c r="H65" s="13" t="s">
        <v>461</v>
      </c>
      <c r="I65" s="9" cm="1">
        <f t="array" ref="I65">_FV(Table_0[[#This Row],[Symbol]],"P/E",TRUE)</f>
        <v>20.043500000000002</v>
      </c>
      <c r="J65" s="1" cm="1">
        <f t="array" ref="J65">_FV(Table_0[[#This Row],[Symbol]],"Market cap",TRUE)</f>
        <v>121462940808</v>
      </c>
    </row>
    <row r="66" spans="1:10" x14ac:dyDescent="0.25">
      <c r="A66">
        <v>63</v>
      </c>
      <c r="B66" t="s">
        <v>73</v>
      </c>
      <c r="C66" t="e" vm="63">
        <v>#VALUE!</v>
      </c>
      <c r="D66" t="str" cm="1">
        <f t="array" ref="D66">_FV(Table_0[[#This Row],[Symbol]],"Industry")</f>
        <v>Machinery, Equipment &amp; Components</v>
      </c>
      <c r="E66" s="8">
        <v>0.37353199999999998</v>
      </c>
      <c r="F66" s="11">
        <v>433.12</v>
      </c>
      <c r="G66" s="11">
        <v>-8.52</v>
      </c>
      <c r="H66" s="13" t="s">
        <v>771</v>
      </c>
      <c r="I66" s="9" cm="1">
        <f t="array" ref="I66">_FV(Table_0[[#This Row],[Symbol]],"P/E",TRUE)</f>
        <v>18.933700000000002</v>
      </c>
      <c r="J66" s="1" cm="1">
        <f t="array" ref="J66">_FV(Table_0[[#This Row],[Symbol]],"Market cap",TRUE)</f>
        <v>129148680392</v>
      </c>
    </row>
    <row r="67" spans="1:10" x14ac:dyDescent="0.25">
      <c r="A67">
        <v>64</v>
      </c>
      <c r="B67" t="s">
        <v>67</v>
      </c>
      <c r="C67" t="e" vm="64">
        <v>#VALUE!</v>
      </c>
      <c r="D67" t="str" cm="1">
        <f t="array" ref="D67">_FV(Table_0[[#This Row],[Symbol]],"Industry")</f>
        <v>Investment Banking &amp; Investment Services</v>
      </c>
      <c r="E67" s="8">
        <v>0.36662600000000001</v>
      </c>
      <c r="F67" s="11">
        <v>341.57</v>
      </c>
      <c r="G67" s="11">
        <v>-8.59</v>
      </c>
      <c r="H67" s="13" t="s">
        <v>683</v>
      </c>
      <c r="I67" s="9" cm="1">
        <f t="array" ref="I67">_FV(Table_0[[#This Row],[Symbol]],"P/E",TRUE)</f>
        <v>9.3277000000000001</v>
      </c>
      <c r="J67" s="1" cm="1">
        <f t="array" ref="J67">_FV(Table_0[[#This Row],[Symbol]],"Market cap",TRUE)</f>
        <v>115738533587</v>
      </c>
    </row>
    <row r="68" spans="1:10" x14ac:dyDescent="0.25">
      <c r="A68">
        <v>65</v>
      </c>
      <c r="B68" t="s">
        <v>75</v>
      </c>
      <c r="C68" t="e" vm="65">
        <v>#VALUE!</v>
      </c>
      <c r="D68" t="str" cm="1">
        <f t="array" ref="D68">_FV(Table_0[[#This Row],[Symbol]],"Industry")</f>
        <v>Investment Banking &amp; Investment Services</v>
      </c>
      <c r="E68" s="8">
        <v>0.35265200000000002</v>
      </c>
      <c r="F68" s="11">
        <v>85.16</v>
      </c>
      <c r="G68" s="11">
        <v>-1.71</v>
      </c>
      <c r="H68" s="13" t="s">
        <v>789</v>
      </c>
      <c r="I68" s="9" cm="1">
        <f t="array" ref="I68">_FV(Table_0[[#This Row],[Symbol]],"P/E",TRUE)</f>
        <v>12.6099</v>
      </c>
      <c r="J68" s="1" cm="1">
        <f t="array" ref="J68">_FV(Table_0[[#This Row],[Symbol]],"Market cap",TRUE)</f>
        <v>143895880260</v>
      </c>
    </row>
    <row r="69" spans="1:10" x14ac:dyDescent="0.25">
      <c r="A69">
        <v>66</v>
      </c>
      <c r="B69" t="s">
        <v>79</v>
      </c>
      <c r="C69" t="e" vm="66">
        <v>#VALUE!</v>
      </c>
      <c r="D69" t="str" cm="1">
        <f t="array" ref="D69">_FV(Table_0[[#This Row],[Symbol]],"Industry")</f>
        <v>Aerospace &amp; Defense</v>
      </c>
      <c r="E69" s="8">
        <v>0.35026600000000002</v>
      </c>
      <c r="F69" s="11">
        <v>476.15</v>
      </c>
      <c r="G69" s="11">
        <v>-11.5</v>
      </c>
      <c r="H69" s="13" t="s">
        <v>734</v>
      </c>
      <c r="I69" s="9" cm="1">
        <f t="array" ref="I69">_FV(Table_0[[#This Row],[Symbol]],"P/E",TRUE)</f>
        <v>22.391400000000001</v>
      </c>
      <c r="J69" s="1" cm="1">
        <f t="array" ref="J69">_FV(Table_0[[#This Row],[Symbol]],"Market cap",TRUE)</f>
        <v>124736741040</v>
      </c>
    </row>
    <row r="70" spans="1:10" x14ac:dyDescent="0.25">
      <c r="A70">
        <v>67</v>
      </c>
      <c r="B70" t="s">
        <v>80</v>
      </c>
      <c r="C70" t="e" vm="67">
        <v>#VALUE!</v>
      </c>
      <c r="D70" t="str" cm="1">
        <f t="array" ref="D70">_FV(Table_0[[#This Row],[Symbol]],"Industry")</f>
        <v>Hotels &amp; Entertainment Services</v>
      </c>
      <c r="E70" s="8">
        <v>0.34878399999999998</v>
      </c>
      <c r="F70" s="11">
        <v>96.68</v>
      </c>
      <c r="G70" s="11">
        <v>-1.99</v>
      </c>
      <c r="H70" s="13" t="s">
        <v>640</v>
      </c>
      <c r="I70" s="9" cm="1">
        <f t="array" ref="I70">_FV(Table_0[[#This Row],[Symbol]],"P/E",TRUE)</f>
        <v>34.826300000000003</v>
      </c>
      <c r="J70" s="1" cm="1">
        <f t="array" ref="J70">_FV(Table_0[[#This Row],[Symbol]],"Market cap",TRUE)</f>
        <v>110969304000</v>
      </c>
    </row>
    <row r="71" spans="1:10" x14ac:dyDescent="0.25">
      <c r="A71">
        <v>68</v>
      </c>
      <c r="B71" t="s">
        <v>76</v>
      </c>
      <c r="C71" t="e" vm="68">
        <v>#VALUE!</v>
      </c>
      <c r="D71" t="str" cm="1">
        <f t="array" ref="D71">_FV(Table_0[[#This Row],[Symbol]],"Industry")</f>
        <v>Professional &amp; Commercial Services</v>
      </c>
      <c r="E71" s="8">
        <v>0.34603</v>
      </c>
      <c r="F71" s="11">
        <v>330.04</v>
      </c>
      <c r="G71" s="11">
        <v>-7.41</v>
      </c>
      <c r="H71" s="13" t="s">
        <v>686</v>
      </c>
      <c r="I71" s="9" cm="1">
        <f t="array" ref="I71">_FV(Table_0[[#This Row],[Symbol]],"P/E",TRUE)</f>
        <v>28.2149</v>
      </c>
      <c r="J71" s="1" cm="1">
        <f t="array" ref="J71">_FV(Table_0[[#This Row],[Symbol]],"Market cap",TRUE)</f>
        <v>107527032000</v>
      </c>
    </row>
    <row r="72" spans="1:10" x14ac:dyDescent="0.25">
      <c r="A72">
        <v>69</v>
      </c>
      <c r="B72" t="s">
        <v>82</v>
      </c>
      <c r="C72" t="e" vm="69">
        <v>#VALUE!</v>
      </c>
      <c r="D72" t="str" cm="1">
        <f t="array" ref="D72">_FV(Table_0[[#This Row],[Symbol]],"Industry")</f>
        <v>Financial Technology (Fintech) &amp; Infrastructure</v>
      </c>
      <c r="E72" s="8">
        <v>0.34141199999999999</v>
      </c>
      <c r="F72" s="11">
        <v>378.57</v>
      </c>
      <c r="G72" s="11">
        <v>-14.77</v>
      </c>
      <c r="H72" s="13" t="s">
        <v>707</v>
      </c>
      <c r="I72" s="9" cm="1">
        <f t="array" ref="I72">_FV(Table_0[[#This Row],[Symbol]],"P/E",TRUE)</f>
        <v>59.921100000000003</v>
      </c>
      <c r="J72" s="1" cm="1">
        <f t="array" ref="J72">_FV(Table_0[[#This Row],[Symbol]],"Market cap",TRUE)</f>
        <v>106348524051</v>
      </c>
    </row>
    <row r="73" spans="1:10" x14ac:dyDescent="0.25">
      <c r="A73">
        <v>70</v>
      </c>
      <c r="B73" t="s">
        <v>78</v>
      </c>
      <c r="C73" t="e" vm="70">
        <v>#VALUE!</v>
      </c>
      <c r="D73" t="str" cm="1">
        <f t="array" ref="D73">_FV(Table_0[[#This Row],[Symbol]],"Industry")</f>
        <v>Semiconductors &amp; Semiconductor Equipment</v>
      </c>
      <c r="E73" s="8">
        <v>0.34097499999999997</v>
      </c>
      <c r="F73" s="11">
        <v>25.38</v>
      </c>
      <c r="G73" s="11">
        <v>-1.45</v>
      </c>
      <c r="H73" s="13" t="s">
        <v>727</v>
      </c>
      <c r="I73" s="9" cm="1">
        <f t="array" ref="I73">_FV(Table_0[[#This Row],[Symbol]],"P/E",TRUE)</f>
        <v>8.2814999999999994</v>
      </c>
      <c r="J73" s="1" cm="1">
        <f t="array" ref="J73">_FV(Table_0[[#This Row],[Symbol]],"Market cap",TRUE)</f>
        <v>104722625000</v>
      </c>
    </row>
    <row r="74" spans="1:10" x14ac:dyDescent="0.25">
      <c r="A74">
        <v>71</v>
      </c>
      <c r="B74" t="s">
        <v>89</v>
      </c>
      <c r="C74" t="e" vm="71">
        <v>#VALUE!</v>
      </c>
      <c r="D74" t="str" cm="1">
        <f t="array" ref="D74">_FV(Table_0[[#This Row],[Symbol]],"Industry")</f>
        <v>Aerospace &amp; Defense</v>
      </c>
      <c r="E74" s="8">
        <v>0.33812900000000001</v>
      </c>
      <c r="F74" s="11">
        <v>186.7</v>
      </c>
      <c r="G74" s="11">
        <v>-9.3000000000000007</v>
      </c>
      <c r="H74" s="13" t="s">
        <v>839</v>
      </c>
      <c r="I74" s="9" cm="1">
        <f t="array" ref="I74">_FV(Table_0[[#This Row],[Symbol]],"P/E",TRUE)</f>
        <v>0</v>
      </c>
      <c r="J74" s="1" cm="1">
        <f t="array" ref="J74">_FV(Table_0[[#This Row],[Symbol]],"Market cap",TRUE)</f>
        <v>111292234015</v>
      </c>
    </row>
    <row r="75" spans="1:10" x14ac:dyDescent="0.25">
      <c r="A75">
        <v>72</v>
      </c>
      <c r="B75" t="s">
        <v>77</v>
      </c>
      <c r="C75" t="e" vm="72">
        <v>#VALUE!</v>
      </c>
      <c r="D75" t="str" cm="1">
        <f t="array" ref="D75">_FV(Table_0[[#This Row],[Symbol]],"Industry")</f>
        <v>Semiconductors &amp; Semiconductor Equipment</v>
      </c>
      <c r="E75" s="8">
        <v>0.33548499999999998</v>
      </c>
      <c r="F75" s="11">
        <v>62.48</v>
      </c>
      <c r="G75" s="11">
        <v>-5.2</v>
      </c>
      <c r="H75" s="13" t="s">
        <v>856</v>
      </c>
      <c r="I75" s="9" cm="1">
        <f t="array" ref="I75">_FV(Table_0[[#This Row],[Symbol]],"P/E",TRUE)</f>
        <v>40.566499999999998</v>
      </c>
      <c r="J75" s="1" cm="1">
        <f t="array" ref="J75">_FV(Table_0[[#This Row],[Symbol]],"Market cap",TRUE)</f>
        <v>109124300000</v>
      </c>
    </row>
    <row r="76" spans="1:10" x14ac:dyDescent="0.25">
      <c r="A76">
        <v>73</v>
      </c>
      <c r="B76" t="s">
        <v>81</v>
      </c>
      <c r="C76" t="e" vm="73">
        <v>#VALUE!</v>
      </c>
      <c r="D76" t="str" cm="1">
        <f t="array" ref="D76">_FV(Table_0[[#This Row],[Symbol]],"Industry")</f>
        <v>Investment Banking &amp; Investment Services</v>
      </c>
      <c r="E76" s="8">
        <v>0.32980300000000001</v>
      </c>
      <c r="F76" s="11">
        <v>688.94</v>
      </c>
      <c r="G76" s="11">
        <v>-24.01</v>
      </c>
      <c r="H76" s="13" t="s">
        <v>720</v>
      </c>
      <c r="I76" s="9" cm="1">
        <f t="array" ref="I76">_FV(Table_0[[#This Row],[Symbol]],"P/E",TRUE)</f>
        <v>19.641400000000001</v>
      </c>
      <c r="J76" s="1" cm="1">
        <f t="array" ref="J76">_FV(Table_0[[#This Row],[Symbol]],"Market cap",TRUE)</f>
        <v>107080400000</v>
      </c>
    </row>
    <row r="77" spans="1:10" x14ac:dyDescent="0.25">
      <c r="A77">
        <v>74</v>
      </c>
      <c r="B77" t="s">
        <v>84</v>
      </c>
      <c r="C77" t="e" vm="74">
        <v>#VALUE!</v>
      </c>
      <c r="D77" t="str" cm="1">
        <f t="array" ref="D77">_FV(Table_0[[#This Row],[Symbol]],"Industry")</f>
        <v>Pharmaceuticals</v>
      </c>
      <c r="E77" s="8">
        <v>0.32934000000000002</v>
      </c>
      <c r="F77" s="11">
        <v>84.92</v>
      </c>
      <c r="G77" s="11">
        <v>-0.35</v>
      </c>
      <c r="H77" s="13" t="s">
        <v>382</v>
      </c>
      <c r="I77" s="9" cm="1">
        <f t="array" ref="I77">_FV(Table_0[[#This Row],[Symbol]],"P/E",TRUE)</f>
        <v>32.245399999999997</v>
      </c>
      <c r="J77" s="1" cm="1">
        <f t="array" ref="J77">_FV(Table_0[[#This Row],[Symbol]],"Market cap",TRUE)</f>
        <v>106510400480</v>
      </c>
    </row>
    <row r="78" spans="1:10" x14ac:dyDescent="0.25">
      <c r="A78">
        <v>75</v>
      </c>
      <c r="B78" t="s">
        <v>85</v>
      </c>
      <c r="C78" t="e" vm="75">
        <v>#VALUE!</v>
      </c>
      <c r="D78" t="str" cm="1">
        <f t="array" ref="D78">_FV(Table_0[[#This Row],[Symbol]],"Industry")</f>
        <v>Residential &amp; Commercial REIT</v>
      </c>
      <c r="E78" s="8">
        <v>0.32387500000000002</v>
      </c>
      <c r="F78" s="11">
        <v>111.2</v>
      </c>
      <c r="G78" s="11">
        <v>-2.74</v>
      </c>
      <c r="H78" s="13" t="s">
        <v>800</v>
      </c>
      <c r="I78" s="9" cm="1">
        <f t="array" ref="I78">_FV(Table_0[[#This Row],[Symbol]],"P/E",TRUE)</f>
        <v>21.104900000000001</v>
      </c>
      <c r="J78" s="1" cm="1">
        <f t="array" ref="J78">_FV(Table_0[[#This Row],[Symbol]],"Market cap",TRUE)</f>
        <v>102609417176</v>
      </c>
    </row>
    <row r="79" spans="1:10" x14ac:dyDescent="0.25">
      <c r="A79">
        <v>76</v>
      </c>
      <c r="B79" t="s">
        <v>86</v>
      </c>
      <c r="C79" t="e" vm="76">
        <v>#VALUE!</v>
      </c>
      <c r="D79" t="str" cm="1">
        <f t="array" ref="D79">_FV(Table_0[[#This Row],[Symbol]],"Industry")</f>
        <v>Healthcare Equipment &amp; Supplies</v>
      </c>
      <c r="E79" s="8">
        <v>0.31581599999999999</v>
      </c>
      <c r="F79" s="11">
        <v>76.25</v>
      </c>
      <c r="G79" s="11">
        <v>-0.91</v>
      </c>
      <c r="H79" s="13" t="s">
        <v>600</v>
      </c>
      <c r="I79" s="9" cm="1">
        <f t="array" ref="I79">_FV(Table_0[[#This Row],[Symbol]],"P/E",TRUE)</f>
        <v>23.959599999999998</v>
      </c>
      <c r="J79" s="1" cm="1">
        <f t="array" ref="J79">_FV(Table_0[[#This Row],[Symbol]],"Market cap",TRUE)</f>
        <v>101412923200</v>
      </c>
    </row>
    <row r="80" spans="1:10" x14ac:dyDescent="0.25">
      <c r="A80">
        <v>77</v>
      </c>
      <c r="B80" t="s">
        <v>83</v>
      </c>
      <c r="C80" t="e" vm="77">
        <v>#VALUE!</v>
      </c>
      <c r="D80" t="str" cm="1">
        <f t="array" ref="D80">_FV(Table_0[[#This Row],[Symbol]],"Industry")</f>
        <v>Software &amp; IT Services</v>
      </c>
      <c r="E80" s="8">
        <v>0.31493100000000002</v>
      </c>
      <c r="F80" s="11">
        <v>237.46</v>
      </c>
      <c r="G80" s="11">
        <v>-9.58</v>
      </c>
      <c r="H80" s="13" t="s">
        <v>831</v>
      </c>
      <c r="I80" s="9" cm="1">
        <f t="array" ref="I80">_FV(Table_0[[#This Row],[Symbol]],"P/E",TRUE)</f>
        <v>34.222299999999997</v>
      </c>
      <c r="J80" s="1" cm="1">
        <f t="array" ref="J80">_FV(Table_0[[#This Row],[Symbol]],"Market cap",TRUE)</f>
        <v>102479100000</v>
      </c>
    </row>
    <row r="81" spans="1:10" x14ac:dyDescent="0.25">
      <c r="A81">
        <v>78</v>
      </c>
      <c r="B81" t="s">
        <v>88</v>
      </c>
      <c r="C81" t="e" vm="78">
        <v>#VALUE!</v>
      </c>
      <c r="D81" t="str" cm="1">
        <f t="array" ref="D81">_FV(Table_0[[#This Row],[Symbol]],"Industry")</f>
        <v>Healthcare Providers &amp; Services</v>
      </c>
      <c r="E81" s="8">
        <v>0.31367099999999998</v>
      </c>
      <c r="F81" s="11">
        <v>331.84</v>
      </c>
      <c r="G81" s="11">
        <v>-1.32</v>
      </c>
      <c r="H81" s="13" t="s">
        <v>587</v>
      </c>
      <c r="I81" s="9" cm="1">
        <f t="array" ref="I81">_FV(Table_0[[#This Row],[Symbol]],"P/E",TRUE)</f>
        <v>15.9163</v>
      </c>
      <c r="J81" s="1" cm="1">
        <f t="array" ref="J81">_FV(Table_0[[#This Row],[Symbol]],"Market cap",TRUE)</f>
        <v>101456429759</v>
      </c>
    </row>
    <row r="82" spans="1:10" x14ac:dyDescent="0.25">
      <c r="A82">
        <v>79</v>
      </c>
      <c r="B82" t="s">
        <v>87</v>
      </c>
      <c r="C82" t="e" vm="79">
        <v>#VALUE!</v>
      </c>
      <c r="D82" t="str" cm="1">
        <f t="array" ref="D82">_FV(Table_0[[#This Row],[Symbol]],"Industry")</f>
        <v>Residential &amp; Commercial REIT</v>
      </c>
      <c r="E82" s="8">
        <v>0.301956</v>
      </c>
      <c r="F82" s="11">
        <v>207.15</v>
      </c>
      <c r="G82" s="11">
        <v>-3.45</v>
      </c>
      <c r="H82" s="13" t="s">
        <v>695</v>
      </c>
      <c r="I82" s="9" cm="1">
        <f t="array" ref="I82">_FV(Table_0[[#This Row],[Symbol]],"P/E",TRUE)</f>
        <v>33.426200000000001</v>
      </c>
      <c r="J82" s="1" cm="1">
        <f t="array" ref="J82">_FV(Table_0[[#This Row],[Symbol]],"Market cap",TRUE)</f>
        <v>96450200040</v>
      </c>
    </row>
    <row r="83" spans="1:10" x14ac:dyDescent="0.25">
      <c r="A83">
        <v>80</v>
      </c>
      <c r="B83" t="s">
        <v>91</v>
      </c>
      <c r="C83" t="e" vm="80">
        <v>#VALUE!</v>
      </c>
      <c r="D83" t="str" cm="1">
        <f t="array" ref="D83">_FV(Table_0[[#This Row],[Symbol]],"Industry")</f>
        <v>Healthcare Equipment &amp; Supplies</v>
      </c>
      <c r="E83" s="8">
        <v>0.29135899999999998</v>
      </c>
      <c r="F83" s="11">
        <v>260.5</v>
      </c>
      <c r="G83" s="11">
        <v>-5.66</v>
      </c>
      <c r="H83" s="13" t="s">
        <v>657</v>
      </c>
      <c r="I83" s="9" cm="1">
        <f t="array" ref="I83">_FV(Table_0[[#This Row],[Symbol]],"P/E",TRUE)</f>
        <v>70.485200000000006</v>
      </c>
      <c r="J83" s="1" cm="1">
        <f t="array" ref="J83">_FV(Table_0[[#This Row],[Symbol]],"Market cap",TRUE)</f>
        <v>92056688300</v>
      </c>
    </row>
    <row r="84" spans="1:10" x14ac:dyDescent="0.25">
      <c r="A84">
        <v>81</v>
      </c>
      <c r="B84" t="s">
        <v>90</v>
      </c>
      <c r="C84" t="e" vm="81">
        <v>#VALUE!</v>
      </c>
      <c r="D84" t="str" cm="1">
        <f t="array" ref="D84">_FV(Table_0[[#This Row],[Symbol]],"Industry")</f>
        <v>Diversified Retail</v>
      </c>
      <c r="E84" s="8">
        <v>0.28325600000000001</v>
      </c>
      <c r="F84" s="11">
        <v>77.56</v>
      </c>
      <c r="G84" s="11">
        <v>-1.28</v>
      </c>
      <c r="H84" s="13" t="s">
        <v>617</v>
      </c>
      <c r="I84" s="9" cm="1">
        <f t="array" ref="I84">_FV(Table_0[[#This Row],[Symbol]],"P/E",TRUE)</f>
        <v>27.4892</v>
      </c>
      <c r="J84" s="1" cm="1">
        <f t="array" ref="J84">_FV(Table_0[[#This Row],[Symbol]],"Market cap",TRUE)</f>
        <v>89620890240</v>
      </c>
    </row>
    <row r="85" spans="1:10" x14ac:dyDescent="0.25">
      <c r="A85">
        <v>82</v>
      </c>
      <c r="B85" t="s">
        <v>95</v>
      </c>
      <c r="C85" t="e" vm="82">
        <v>#VALUE!</v>
      </c>
      <c r="D85" t="str" cm="1">
        <f t="array" ref="D85">_FV(Table_0[[#This Row],[Symbol]],"Industry")</f>
        <v>Food &amp; Tobacco</v>
      </c>
      <c r="E85" s="8">
        <v>0.28134100000000001</v>
      </c>
      <c r="F85" s="11">
        <v>66.260000000000005</v>
      </c>
      <c r="G85" s="11">
        <v>-0.64</v>
      </c>
      <c r="H85" s="13" t="s">
        <v>609</v>
      </c>
      <c r="I85" s="9" cm="1">
        <f t="array" ref="I85">_FV(Table_0[[#This Row],[Symbol]],"P/E",TRUE)</f>
        <v>29.754799999999999</v>
      </c>
      <c r="J85" s="1" cm="1">
        <f t="array" ref="J85">_FV(Table_0[[#This Row],[Symbol]],"Market cap",TRUE)</f>
        <v>91346220000</v>
      </c>
    </row>
    <row r="86" spans="1:10" x14ac:dyDescent="0.25">
      <c r="A86">
        <v>83</v>
      </c>
      <c r="B86" t="s">
        <v>98</v>
      </c>
      <c r="C86" t="e" vm="83">
        <v>#VALUE!</v>
      </c>
      <c r="D86" t="str" cm="1">
        <f t="array" ref="D86">_FV(Table_0[[#This Row],[Symbol]],"Industry")</f>
        <v>Semiconductors &amp; Semiconductor Equipment</v>
      </c>
      <c r="E86" s="8">
        <v>0.280555</v>
      </c>
      <c r="F86" s="11">
        <v>96.19</v>
      </c>
      <c r="G86" s="11">
        <v>-9.7200000000000006</v>
      </c>
      <c r="H86" s="13" t="s">
        <v>857</v>
      </c>
      <c r="I86" s="9" cm="1">
        <f t="array" ref="I86">_FV(Table_0[[#This Row],[Symbol]],"P/E",TRUE)</f>
        <v>14.2386</v>
      </c>
      <c r="J86" s="1" cm="1">
        <f t="array" ref="J86">_FV(Table_0[[#This Row],[Symbol]],"Market cap",TRUE)</f>
        <v>81193577044</v>
      </c>
    </row>
    <row r="87" spans="1:10" x14ac:dyDescent="0.25">
      <c r="A87">
        <v>84</v>
      </c>
      <c r="B87" t="s">
        <v>99</v>
      </c>
      <c r="C87" t="e" vm="84">
        <v>#VALUE!</v>
      </c>
      <c r="D87" t="str" cm="1">
        <f t="array" ref="D87">_FV(Table_0[[#This Row],[Symbol]],"Industry")</f>
        <v>Insurance</v>
      </c>
      <c r="E87" s="8">
        <v>0.28036499999999998</v>
      </c>
      <c r="F87" s="11">
        <v>216.29</v>
      </c>
      <c r="G87" s="11">
        <v>-2.4700000000000002</v>
      </c>
      <c r="H87" s="13" t="s">
        <v>716</v>
      </c>
      <c r="I87" s="9" cm="1">
        <f t="array" ref="I87">_FV(Table_0[[#This Row],[Symbol]],"P/E",TRUE)</f>
        <v>15.2662</v>
      </c>
      <c r="J87" s="1" cm="1">
        <f t="array" ref="J87">_FV(Table_0[[#This Row],[Symbol]],"Market cap",TRUE)</f>
        <v>89771229387</v>
      </c>
    </row>
    <row r="88" spans="1:10" x14ac:dyDescent="0.25">
      <c r="A88">
        <v>85</v>
      </c>
      <c r="B88" t="s">
        <v>92</v>
      </c>
      <c r="C88" t="e" vm="85">
        <v>#VALUE!</v>
      </c>
      <c r="D88" t="str" cm="1">
        <f t="array" ref="D88">_FV(Table_0[[#This Row],[Symbol]],"Industry")</f>
        <v>Consumer Goods Conglomerates</v>
      </c>
      <c r="E88" s="8">
        <v>0.27834999999999999</v>
      </c>
      <c r="F88" s="11">
        <v>80.66</v>
      </c>
      <c r="G88" s="11">
        <v>-2.3199999999999998</v>
      </c>
      <c r="H88" s="13" t="s">
        <v>674</v>
      </c>
      <c r="I88" s="9" cm="1">
        <f t="array" ref="I88">_FV(Table_0[[#This Row],[Symbol]],"P/E",TRUE)</f>
        <v>0</v>
      </c>
      <c r="J88" s="1" cm="1">
        <f t="array" ref="J88">_FV(Table_0[[#This Row],[Symbol]],"Market cap",TRUE)</f>
        <v>88134600880</v>
      </c>
    </row>
    <row r="89" spans="1:10" x14ac:dyDescent="0.25">
      <c r="A89">
        <v>86</v>
      </c>
      <c r="B89" t="s">
        <v>96</v>
      </c>
      <c r="C89" t="e" vm="86">
        <v>#VALUE!</v>
      </c>
      <c r="D89" t="str" cm="1">
        <f t="array" ref="D89">_FV(Table_0[[#This Row],[Symbol]],"Industry")</f>
        <v>Banking Services</v>
      </c>
      <c r="E89" s="8">
        <v>0.270762</v>
      </c>
      <c r="F89" s="11">
        <v>143.44999999999999</v>
      </c>
      <c r="G89" s="11">
        <v>-3.65</v>
      </c>
      <c r="H89" s="13" t="s">
        <v>784</v>
      </c>
      <c r="I89" s="9" cm="1">
        <f t="array" ref="I89">_FV(Table_0[[#This Row],[Symbol]],"P/E",TRUE)</f>
        <v>14.779400000000001</v>
      </c>
      <c r="J89" s="1" cm="1">
        <f t="array" ref="J89">_FV(Table_0[[#This Row],[Symbol]],"Market cap",TRUE)</f>
        <v>107190530814</v>
      </c>
    </row>
    <row r="90" spans="1:10" x14ac:dyDescent="0.25">
      <c r="A90">
        <v>87</v>
      </c>
      <c r="B90" t="s">
        <v>94</v>
      </c>
      <c r="C90" t="e" vm="87">
        <v>#VALUE!</v>
      </c>
      <c r="D90" t="str" cm="1">
        <f t="array" ref="D90">_FV(Table_0[[#This Row],[Symbol]],"Industry")</f>
        <v>Investment Banking &amp; Investment Services</v>
      </c>
      <c r="E90" s="8">
        <v>0.267262</v>
      </c>
      <c r="F90" s="11">
        <v>43.11</v>
      </c>
      <c r="G90" s="11">
        <v>-1.7</v>
      </c>
      <c r="H90" s="13" t="s">
        <v>826</v>
      </c>
      <c r="I90" s="9" cm="1">
        <f t="array" ref="I90">_FV(Table_0[[#This Row],[Symbol]],"P/E",TRUE)</f>
        <v>6.0406000000000004</v>
      </c>
      <c r="J90" s="1" cm="1">
        <f t="array" ref="J90">_FV(Table_0[[#This Row],[Symbol]],"Market cap",TRUE)</f>
        <v>83491341215</v>
      </c>
    </row>
    <row r="91" spans="1:10" x14ac:dyDescent="0.25">
      <c r="A91">
        <v>88</v>
      </c>
      <c r="B91" t="s">
        <v>100</v>
      </c>
      <c r="C91" t="e" vm="88">
        <v>#VALUE!</v>
      </c>
      <c r="D91" t="str" cm="1">
        <f t="array" ref="D91">_FV(Table_0[[#This Row],[Symbol]],"Industry")</f>
        <v>Semiconductors &amp; Semiconductor Equipment</v>
      </c>
      <c r="E91" s="8">
        <v>0.267094</v>
      </c>
      <c r="F91" s="11">
        <v>161.13</v>
      </c>
      <c r="G91" s="11">
        <v>-6.28</v>
      </c>
      <c r="H91" s="13" t="s">
        <v>707</v>
      </c>
      <c r="I91" s="9" cm="1">
        <f t="array" ref="I91">_FV(Table_0[[#This Row],[Symbol]],"P/E",TRUE)</f>
        <v>31.762</v>
      </c>
      <c r="J91" s="1" cm="1">
        <f t="array" ref="J91">_FV(Table_0[[#This Row],[Symbol]],"Market cap",TRUE)</f>
        <v>82062848367</v>
      </c>
    </row>
    <row r="92" spans="1:10" x14ac:dyDescent="0.25">
      <c r="A92">
        <v>89</v>
      </c>
      <c r="B92" t="s">
        <v>97</v>
      </c>
      <c r="C92" t="e" vm="89">
        <v>#VALUE!</v>
      </c>
      <c r="D92" t="str" cm="1">
        <f t="array" ref="D92">_FV(Table_0[[#This Row],[Symbol]],"Industry")</f>
        <v>Telecommunications Services</v>
      </c>
      <c r="E92" s="8">
        <v>0.26133200000000001</v>
      </c>
      <c r="F92" s="11">
        <v>138.58000000000001</v>
      </c>
      <c r="G92" s="11">
        <v>-2.89</v>
      </c>
      <c r="H92" s="13" t="s">
        <v>772</v>
      </c>
      <c r="I92" s="9" cm="1">
        <f t="array" ref="I92">_FV(Table_0[[#This Row],[Symbol]],"P/E",TRUE)</f>
        <v>115.83839999999999</v>
      </c>
      <c r="J92" s="1" cm="1">
        <f t="array" ref="J92">_FV(Table_0[[#This Row],[Symbol]],"Market cap",TRUE)</f>
        <v>172414861320</v>
      </c>
    </row>
    <row r="93" spans="1:10" x14ac:dyDescent="0.25">
      <c r="A93">
        <v>90</v>
      </c>
      <c r="B93" t="s">
        <v>101</v>
      </c>
      <c r="C93" t="e" vm="90">
        <v>#VALUE!</v>
      </c>
      <c r="D93" t="str" cm="1">
        <f t="array" ref="D93">_FV(Table_0[[#This Row],[Symbol]],"Industry")</f>
        <v>Insurance</v>
      </c>
      <c r="E93" s="8">
        <v>0.25659900000000002</v>
      </c>
      <c r="F93" s="11">
        <v>164.64</v>
      </c>
      <c r="G93" s="11">
        <v>-2.95</v>
      </c>
      <c r="H93" s="13" t="s">
        <v>740</v>
      </c>
      <c r="I93" s="9" cm="1">
        <f t="array" ref="I93">_FV(Table_0[[#This Row],[Symbol]],"P/E",TRUE)</f>
        <v>25.141100000000002</v>
      </c>
      <c r="J93" s="1" cm="1">
        <f t="array" ref="J93">_FV(Table_0[[#This Row],[Symbol]],"Market cap",TRUE)</f>
        <v>81663004080</v>
      </c>
    </row>
    <row r="94" spans="1:10" x14ac:dyDescent="0.25">
      <c r="A94">
        <v>91</v>
      </c>
      <c r="B94" t="s">
        <v>102</v>
      </c>
      <c r="C94" t="e" vm="91">
        <v>#VALUE!</v>
      </c>
      <c r="D94" t="str" cm="1">
        <f t="array" ref="D94">_FV(Table_0[[#This Row],[Symbol]],"Industry")</f>
        <v>Food &amp; Tobacco</v>
      </c>
      <c r="E94" s="8">
        <v>0.25194699999999998</v>
      </c>
      <c r="F94" s="11">
        <v>45.45</v>
      </c>
      <c r="G94" s="11">
        <v>-0.14000000000000001</v>
      </c>
      <c r="H94" s="13" t="s">
        <v>152</v>
      </c>
      <c r="I94" s="9" cm="1">
        <f t="array" ref="I94">_FV(Table_0[[#This Row],[Symbol]],"P/E",TRUE)</f>
        <v>17.7119</v>
      </c>
      <c r="J94" s="1" cm="1">
        <f t="array" ref="J94">_FV(Table_0[[#This Row],[Symbol]],"Market cap",TRUE)</f>
        <v>81454262850</v>
      </c>
    </row>
    <row r="95" spans="1:10" x14ac:dyDescent="0.25">
      <c r="A95">
        <v>92</v>
      </c>
      <c r="B95" t="s">
        <v>109</v>
      </c>
      <c r="C95" t="e" vm="92">
        <v>#VALUE!</v>
      </c>
      <c r="D95" t="str" cm="1">
        <f t="array" ref="D95">_FV(Table_0[[#This Row],[Symbol]],"Industry")</f>
        <v>Healthcare Equipment &amp; Supplies</v>
      </c>
      <c r="E95" s="8">
        <v>0.24954999999999999</v>
      </c>
      <c r="F95" s="11">
        <v>239.29</v>
      </c>
      <c r="G95" s="11">
        <v>-2.25</v>
      </c>
      <c r="H95" s="13" t="s">
        <v>773</v>
      </c>
      <c r="I95" s="9" cm="1">
        <f t="array" ref="I95">_FV(Table_0[[#This Row],[Symbol]],"P/E",TRUE)</f>
        <v>37.569000000000003</v>
      </c>
      <c r="J95" s="1" cm="1">
        <f t="array" ref="J95">_FV(Table_0[[#This Row],[Symbol]],"Market cap",TRUE)</f>
        <v>90547336000</v>
      </c>
    </row>
    <row r="96" spans="1:10" x14ac:dyDescent="0.25">
      <c r="A96">
        <v>93</v>
      </c>
      <c r="B96" t="s">
        <v>93</v>
      </c>
      <c r="C96" t="e" vm="93">
        <v>#VALUE!</v>
      </c>
      <c r="D96" t="str" cm="1">
        <f t="array" ref="D96">_FV(Table_0[[#This Row],[Symbol]],"Industry")</f>
        <v>Software &amp; IT Services</v>
      </c>
      <c r="E96" s="8">
        <v>0.24296899999999999</v>
      </c>
      <c r="F96" s="11">
        <v>66.83</v>
      </c>
      <c r="G96" s="11">
        <v>-2.38</v>
      </c>
      <c r="H96" s="13" t="s">
        <v>665</v>
      </c>
      <c r="I96" s="9" cm="1">
        <f t="array" ref="I96">_FV(Table_0[[#This Row],[Symbol]],"P/E",TRUE)</f>
        <v>35.195599999999999</v>
      </c>
      <c r="J96" s="1" cm="1">
        <f t="array" ref="J96">_FV(Table_0[[#This Row],[Symbol]],"Market cap",TRUE)</f>
        <v>76188071240</v>
      </c>
    </row>
    <row r="97" spans="1:10" x14ac:dyDescent="0.25">
      <c r="A97">
        <v>94</v>
      </c>
      <c r="B97" t="s">
        <v>103</v>
      </c>
      <c r="C97" t="e" vm="94">
        <v>#VALUE!</v>
      </c>
      <c r="D97" t="str" cm="1">
        <f t="array" ref="D97">_FV(Table_0[[#This Row],[Symbol]],"Industry")</f>
        <v>Software &amp; IT Services</v>
      </c>
      <c r="E97" s="8">
        <v>0.24296699999999999</v>
      </c>
      <c r="F97" s="11">
        <v>377</v>
      </c>
      <c r="G97" s="11">
        <v>-14.91</v>
      </c>
      <c r="H97" s="13" t="s">
        <v>826</v>
      </c>
      <c r="I97" s="9" cm="1">
        <f t="array" ref="I97">_FV(Table_0[[#This Row],[Symbol]],"P/E",TRUE)</f>
        <v>396.13679999999999</v>
      </c>
      <c r="J97" s="1" cm="1">
        <f t="array" ref="J97">_FV(Table_0[[#This Row],[Symbol]],"Market cap",TRUE)</f>
        <v>76187188600</v>
      </c>
    </row>
    <row r="98" spans="1:10" x14ac:dyDescent="0.25">
      <c r="A98">
        <v>95</v>
      </c>
      <c r="B98" t="s">
        <v>106</v>
      </c>
      <c r="C98" t="e" vm="95">
        <v>#VALUE!</v>
      </c>
      <c r="D98" t="str" cm="1">
        <f t="array" ref="D98">_FV(Table_0[[#This Row],[Symbol]],"Industry")</f>
        <v>Biotechnology &amp; Medical Research</v>
      </c>
      <c r="E98" s="8">
        <v>0.242059</v>
      </c>
      <c r="F98" s="11">
        <v>730</v>
      </c>
      <c r="G98" s="11">
        <v>-6.19</v>
      </c>
      <c r="H98" s="13" t="s">
        <v>630</v>
      </c>
      <c r="I98" s="9" cm="1">
        <f t="array" ref="I98">_FV(Table_0[[#This Row],[Symbol]],"P/E",TRUE)</f>
        <v>15.5299</v>
      </c>
      <c r="J98" s="1" cm="1">
        <f t="array" ref="J98">_FV(Table_0[[#This Row],[Symbol]],"Market cap",TRUE)</f>
        <v>80172520000</v>
      </c>
    </row>
    <row r="99" spans="1:10" x14ac:dyDescent="0.25">
      <c r="A99">
        <v>96</v>
      </c>
      <c r="B99" t="s">
        <v>113</v>
      </c>
      <c r="C99" t="e" vm="96">
        <v>#VALUE!</v>
      </c>
      <c r="D99" t="str" cm="1">
        <f t="array" ref="D99">_FV(Table_0[[#This Row],[Symbol]],"Industry")</f>
        <v>Electrical Utilities &amp; IPPs</v>
      </c>
      <c r="E99" s="8">
        <v>0.24168700000000001</v>
      </c>
      <c r="F99" s="11">
        <v>100.62</v>
      </c>
      <c r="G99" s="11">
        <v>-1.3</v>
      </c>
      <c r="H99" s="13" t="s">
        <v>618</v>
      </c>
      <c r="I99" s="9" cm="1">
        <f t="array" ref="I99">_FV(Table_0[[#This Row],[Symbol]],"P/E",TRUE)</f>
        <v>20.595099999999999</v>
      </c>
      <c r="J99" s="1" cm="1">
        <f t="array" ref="J99">_FV(Table_0[[#This Row],[Symbol]],"Market cap",TRUE)</f>
        <v>77483708874</v>
      </c>
    </row>
    <row r="100" spans="1:10" x14ac:dyDescent="0.25">
      <c r="A100">
        <v>97</v>
      </c>
      <c r="B100" t="s">
        <v>111</v>
      </c>
      <c r="C100" t="e" vm="97">
        <v>#VALUE!</v>
      </c>
      <c r="D100" t="str" cm="1">
        <f t="array" ref="D100">_FV(Table_0[[#This Row],[Symbol]],"Industry")</f>
        <v>Aerospace &amp; Defense</v>
      </c>
      <c r="E100" s="8">
        <v>0.24018900000000001</v>
      </c>
      <c r="F100" s="11">
        <v>530.29999999999995</v>
      </c>
      <c r="G100" s="11">
        <v>-8.49</v>
      </c>
      <c r="H100" s="13" t="s">
        <v>710</v>
      </c>
      <c r="I100" s="9" cm="1">
        <f t="array" ref="I100">_FV(Table_0[[#This Row],[Symbol]],"P/E",TRUE)</f>
        <v>15.3133</v>
      </c>
      <c r="J100" s="1" cm="1">
        <f t="array" ref="J100">_FV(Table_0[[#This Row],[Symbol]],"Market cap",TRUE)</f>
        <v>81612713611</v>
      </c>
    </row>
    <row r="101" spans="1:10" x14ac:dyDescent="0.25">
      <c r="A101">
        <v>98</v>
      </c>
      <c r="B101" t="s">
        <v>115</v>
      </c>
      <c r="C101" t="e" vm="98">
        <v>#VALUE!</v>
      </c>
      <c r="D101" t="str" cm="1">
        <f t="array" ref="D101">_FV(Table_0[[#This Row],[Symbol]],"Industry")</f>
        <v>Electrical Utilities &amp; IPPs</v>
      </c>
      <c r="E101" s="8">
        <v>0.23712</v>
      </c>
      <c r="F101" s="11">
        <v>69.97</v>
      </c>
      <c r="G101" s="11">
        <v>-0.76</v>
      </c>
      <c r="H101" s="13" t="s">
        <v>593</v>
      </c>
      <c r="I101" s="9" cm="1">
        <f t="array" ref="I101">_FV(Table_0[[#This Row],[Symbol]],"P/E",TRUE)</f>
        <v>22.4617</v>
      </c>
      <c r="J101" s="1" cm="1">
        <f t="array" ref="J101">_FV(Table_0[[#This Row],[Symbol]],"Market cap",TRUE)</f>
        <v>76174449810</v>
      </c>
    </row>
    <row r="102" spans="1:10" x14ac:dyDescent="0.25">
      <c r="A102">
        <v>99</v>
      </c>
      <c r="B102" t="s">
        <v>107</v>
      </c>
      <c r="C102" t="e" vm="99">
        <v>#VALUE!</v>
      </c>
      <c r="D102" t="str" cm="1">
        <f t="array" ref="D102">_FV(Table_0[[#This Row],[Symbol]],"Industry")</f>
        <v>Hotels &amp; Entertainment Services</v>
      </c>
      <c r="E102" s="8">
        <v>0.23541000000000001</v>
      </c>
      <c r="F102" s="11">
        <v>1912.37</v>
      </c>
      <c r="G102" s="11">
        <v>-58.53</v>
      </c>
      <c r="H102" s="13" t="s">
        <v>783</v>
      </c>
      <c r="I102" s="9" cm="1">
        <f t="array" ref="I102">_FV(Table_0[[#This Row],[Symbol]],"P/E",TRUE)</f>
        <v>32.361899999999999</v>
      </c>
      <c r="J102" s="1" cm="1">
        <f t="array" ref="J102">_FV(Table_0[[#This Row],[Symbol]],"Market cap",TRUE)</f>
        <v>74179665754</v>
      </c>
    </row>
    <row r="103" spans="1:10" x14ac:dyDescent="0.25">
      <c r="A103">
        <v>100</v>
      </c>
      <c r="B103" t="s">
        <v>105</v>
      </c>
      <c r="C103" t="e" vm="100">
        <v>#VALUE!</v>
      </c>
      <c r="D103" t="str" cm="1">
        <f t="array" ref="D103">_FV(Table_0[[#This Row],[Symbol]],"Industry")</f>
        <v>Oil &amp; Gas</v>
      </c>
      <c r="E103" s="8">
        <v>0.23516500000000001</v>
      </c>
      <c r="F103" s="11">
        <v>125.36</v>
      </c>
      <c r="G103" s="11">
        <v>-4.6500000000000004</v>
      </c>
      <c r="H103" s="13" t="s">
        <v>823</v>
      </c>
      <c r="I103" s="9" cm="1">
        <f t="array" ref="I103">_FV(Table_0[[#This Row],[Symbol]],"P/E",TRUE)</f>
        <v>10.210800000000001</v>
      </c>
      <c r="J103" s="1" cm="1">
        <f t="array" ref="J103">_FV(Table_0[[#This Row],[Symbol]],"Market cap",TRUE)</f>
        <v>73614589087</v>
      </c>
    </row>
    <row r="104" spans="1:10" x14ac:dyDescent="0.25">
      <c r="A104">
        <v>101</v>
      </c>
      <c r="B104" t="s">
        <v>114</v>
      </c>
      <c r="C104" t="e" vm="101">
        <v>#VALUE!</v>
      </c>
      <c r="D104" t="str" cm="1">
        <f t="array" ref="D104">_FV(Table_0[[#This Row],[Symbol]],"Industry")</f>
        <v>Oil &amp; Gas Related Equipment and Services</v>
      </c>
      <c r="E104" s="8">
        <v>0.23278399999999999</v>
      </c>
      <c r="F104" s="11">
        <v>51.21</v>
      </c>
      <c r="G104" s="11">
        <v>-2.1</v>
      </c>
      <c r="H104" s="13" t="s">
        <v>752</v>
      </c>
      <c r="I104" s="9" cm="1">
        <f t="array" ref="I104">_FV(Table_0[[#This Row],[Symbol]],"P/E",TRUE)</f>
        <v>25.746700000000001</v>
      </c>
      <c r="J104" s="1" cm="1">
        <f t="array" ref="J104">_FV(Table_0[[#This Row],[Symbol]],"Market cap",TRUE)</f>
        <v>72601600000</v>
      </c>
    </row>
    <row r="105" spans="1:10" x14ac:dyDescent="0.25">
      <c r="A105">
        <v>102</v>
      </c>
      <c r="B105" t="s">
        <v>112</v>
      </c>
      <c r="C105" t="e" vm="102">
        <v>#VALUE!</v>
      </c>
      <c r="D105" t="str" cm="1">
        <f t="array" ref="D105">_FV(Table_0[[#This Row],[Symbol]],"Industry")</f>
        <v>Insurance</v>
      </c>
      <c r="E105" s="8">
        <v>0.23263200000000001</v>
      </c>
      <c r="F105" s="11">
        <v>127.14</v>
      </c>
      <c r="G105" s="11">
        <v>-1.98</v>
      </c>
      <c r="H105" s="13" t="s">
        <v>711</v>
      </c>
      <c r="I105" s="9" cm="1">
        <f t="array" ref="I105">_FV(Table_0[[#This Row],[Symbol]],"P/E",TRUE)</f>
        <v>91.413700000000006</v>
      </c>
      <c r="J105" s="1" cm="1">
        <f t="array" ref="J105">_FV(Table_0[[#This Row],[Symbol]],"Market cap",TRUE)</f>
        <v>74347942500</v>
      </c>
    </row>
    <row r="106" spans="1:10" x14ac:dyDescent="0.25">
      <c r="A106">
        <v>103</v>
      </c>
      <c r="B106" t="s">
        <v>104</v>
      </c>
      <c r="C106" t="e" vm="103">
        <v>#VALUE!</v>
      </c>
      <c r="D106" t="str" cm="1">
        <f t="array" ref="D106">_FV(Table_0[[#This Row],[Symbol]],"Industry")</f>
        <v>Biotechnology &amp; Medical Research</v>
      </c>
      <c r="E106" s="8">
        <v>0.22967099999999999</v>
      </c>
      <c r="F106" s="11">
        <v>292.47000000000003</v>
      </c>
      <c r="G106" s="11">
        <v>1.92</v>
      </c>
      <c r="H106" s="13" t="s">
        <v>603</v>
      </c>
      <c r="I106" s="9" cm="1">
        <f t="array" ref="I106">_FV(Table_0[[#This Row],[Symbol]],"P/E",TRUE)</f>
        <v>22.931000000000001</v>
      </c>
      <c r="J106" s="1" cm="1">
        <f t="array" ref="J106">_FV(Table_0[[#This Row],[Symbol]],"Market cap",TRUE)</f>
        <v>75074533758</v>
      </c>
    </row>
    <row r="107" spans="1:10" x14ac:dyDescent="0.25">
      <c r="A107">
        <v>104</v>
      </c>
      <c r="B107" t="s">
        <v>119</v>
      </c>
      <c r="C107" t="e" vm="104">
        <v>#VALUE!</v>
      </c>
      <c r="D107" t="str" cm="1">
        <f t="array" ref="D107">_FV(Table_0[[#This Row],[Symbol]],"Industry")</f>
        <v>Healthcare Equipment &amp; Supplies</v>
      </c>
      <c r="E107" s="8">
        <v>0.221743</v>
      </c>
      <c r="F107" s="11">
        <v>251.44</v>
      </c>
      <c r="G107" s="11">
        <v>-1.93</v>
      </c>
      <c r="H107" s="13" t="s">
        <v>682</v>
      </c>
      <c r="I107" s="9" cm="1">
        <f t="array" ref="I107">_FV(Table_0[[#This Row],[Symbol]],"P/E",TRUE)</f>
        <v>42.308999999999997</v>
      </c>
      <c r="J107" s="1" cm="1">
        <f t="array" ref="J107">_FV(Table_0[[#This Row],[Symbol]],"Market cap",TRUE)</f>
        <v>71250594273</v>
      </c>
    </row>
    <row r="108" spans="1:10" x14ac:dyDescent="0.25">
      <c r="A108">
        <v>105</v>
      </c>
      <c r="B108" t="s">
        <v>121</v>
      </c>
      <c r="C108" t="e" vm="105">
        <v>#VALUE!</v>
      </c>
      <c r="D108" t="str" cm="1">
        <f t="array" ref="D108">_FV(Table_0[[#This Row],[Symbol]],"Industry")</f>
        <v>Chemicals</v>
      </c>
      <c r="E108" s="8">
        <v>0.21479899999999999</v>
      </c>
      <c r="F108" s="11">
        <v>308.16000000000003</v>
      </c>
      <c r="G108" s="11">
        <v>-6.33</v>
      </c>
      <c r="H108" s="13" t="s">
        <v>652</v>
      </c>
      <c r="I108" s="9" cm="1">
        <f t="array" ref="I108">_FV(Table_0[[#This Row],[Symbol]],"P/E",TRUE)</f>
        <v>31.193200000000001</v>
      </c>
      <c r="J108" s="1" cm="1">
        <f t="array" ref="J108">_FV(Table_0[[#This Row],[Symbol]],"Market cap",TRUE)</f>
        <v>68407729632</v>
      </c>
    </row>
    <row r="109" spans="1:10" x14ac:dyDescent="0.25">
      <c r="A109">
        <v>106</v>
      </c>
      <c r="B109" t="s">
        <v>140</v>
      </c>
      <c r="C109" t="e" vm="106">
        <v>#VALUE!</v>
      </c>
      <c r="D109" t="str" cm="1">
        <f t="array" ref="D109">_FV(Table_0[[#This Row],[Symbol]],"Industry")</f>
        <v>Biotechnology &amp; Medical Research</v>
      </c>
      <c r="E109" s="8">
        <v>0.2137</v>
      </c>
      <c r="F109" s="11">
        <v>204.9</v>
      </c>
      <c r="G109" s="11">
        <v>-5.14</v>
      </c>
      <c r="H109" s="13" t="s">
        <v>683</v>
      </c>
      <c r="I109" s="9" cm="1">
        <f t="array" ref="I109">_FV(Table_0[[#This Row],[Symbol]],"P/E",TRUE)</f>
        <v>7.5952000000000002</v>
      </c>
      <c r="J109" s="1" cm="1">
        <f t="array" ref="J109">_FV(Table_0[[#This Row],[Symbol]],"Market cap",TRUE)</f>
        <v>78657115570</v>
      </c>
    </row>
    <row r="110" spans="1:10" x14ac:dyDescent="0.25">
      <c r="A110">
        <v>107</v>
      </c>
      <c r="B110" t="s">
        <v>117</v>
      </c>
      <c r="C110" t="e" vm="107">
        <v>#VALUE!</v>
      </c>
      <c r="D110" t="str" cm="1">
        <f t="array" ref="D110">_FV(Table_0[[#This Row],[Symbol]],"Industry")</f>
        <v>Consumer Goods Conglomerates</v>
      </c>
      <c r="E110" s="8">
        <v>0.210144</v>
      </c>
      <c r="F110" s="11">
        <v>119.97</v>
      </c>
      <c r="G110" s="11">
        <v>-3.49</v>
      </c>
      <c r="H110" s="13" t="s">
        <v>834</v>
      </c>
      <c r="I110" s="9" cm="1">
        <f t="array" ref="I110">_FV(Table_0[[#This Row],[Symbol]],"P/E",TRUE)</f>
        <v>10.759499999999999</v>
      </c>
      <c r="J110" s="1" cm="1">
        <f t="array" ref="J110">_FV(Table_0[[#This Row],[Symbol]],"Market cap",TRUE)</f>
        <v>66312565713</v>
      </c>
    </row>
    <row r="111" spans="1:10" x14ac:dyDescent="0.25">
      <c r="A111">
        <v>108</v>
      </c>
      <c r="B111" t="s">
        <v>116</v>
      </c>
      <c r="C111" t="e" vm="108">
        <v>#VALUE!</v>
      </c>
      <c r="D111" t="str" cm="1">
        <f t="array" ref="D111">_FV(Table_0[[#This Row],[Symbol]],"Industry")</f>
        <v>Pharmaceuticals</v>
      </c>
      <c r="E111" s="8">
        <v>0.20796899999999999</v>
      </c>
      <c r="F111" s="11">
        <v>142.97</v>
      </c>
      <c r="G111" s="11">
        <v>-1.95</v>
      </c>
      <c r="H111" s="13" t="s">
        <v>758</v>
      </c>
      <c r="I111" s="9" cm="1">
        <f t="array" ref="I111">_FV(Table_0[[#This Row],[Symbol]],"P/E",TRUE)</f>
        <v>33.123100000000001</v>
      </c>
      <c r="J111" s="1" cm="1">
        <f t="array" ref="J111">_FV(Table_0[[#This Row],[Symbol]],"Market cap",TRUE)</f>
        <v>66634313840</v>
      </c>
    </row>
    <row r="112" spans="1:10" x14ac:dyDescent="0.25">
      <c r="A112">
        <v>109</v>
      </c>
      <c r="B112" t="s">
        <v>130</v>
      </c>
      <c r="C112" t="e" vm="109">
        <v>#VALUE!</v>
      </c>
      <c r="D112" t="str" cm="1">
        <f t="array" ref="D112">_FV(Table_0[[#This Row],[Symbol]],"Industry")</f>
        <v>Healthcare Equipment &amp; Supplies</v>
      </c>
      <c r="E112" s="8">
        <v>0.20324300000000001</v>
      </c>
      <c r="F112" s="11">
        <v>45.54</v>
      </c>
      <c r="G112" s="11">
        <v>-0.55000000000000004</v>
      </c>
      <c r="H112" s="13" t="s">
        <v>600</v>
      </c>
      <c r="I112" s="9" cm="1">
        <f t="array" ref="I112">_FV(Table_0[[#This Row],[Symbol]],"P/E",TRUE)</f>
        <v>111.0201</v>
      </c>
      <c r="J112" s="1" cm="1">
        <f t="array" ref="J112">_FV(Table_0[[#This Row],[Symbol]],"Market cap",TRUE)</f>
        <v>65220281384</v>
      </c>
    </row>
    <row r="113" spans="1:10" x14ac:dyDescent="0.25">
      <c r="A113">
        <v>110</v>
      </c>
      <c r="B113" t="s">
        <v>128</v>
      </c>
      <c r="C113" t="e" vm="110">
        <v>#VALUE!</v>
      </c>
      <c r="D113" t="str" cm="1">
        <f t="array" ref="D113">_FV(Table_0[[#This Row],[Symbol]],"Industry")</f>
        <v>Personal &amp; Household Products &amp; Services</v>
      </c>
      <c r="E113" s="8">
        <v>0.20252899999999999</v>
      </c>
      <c r="F113" s="11">
        <v>78.59</v>
      </c>
      <c r="G113" s="11">
        <v>-0.4</v>
      </c>
      <c r="H113" s="13" t="s">
        <v>599</v>
      </c>
      <c r="I113" s="9" cm="1">
        <f t="array" ref="I113">_FV(Table_0[[#This Row],[Symbol]],"P/E",TRUE)</f>
        <v>34.450400000000002</v>
      </c>
      <c r="J113" s="1" cm="1">
        <f t="array" ref="J113">_FV(Table_0[[#This Row],[Symbol]],"Market cap",TRUE)</f>
        <v>65639483978</v>
      </c>
    </row>
    <row r="114" spans="1:10" x14ac:dyDescent="0.25">
      <c r="A114">
        <v>111</v>
      </c>
      <c r="B114" t="s">
        <v>108</v>
      </c>
      <c r="C114" t="e" vm="111">
        <v>#VALUE!</v>
      </c>
      <c r="D114" t="str" cm="1">
        <f t="array" ref="D114">_FV(Table_0[[#This Row],[Symbol]],"Industry")</f>
        <v>Diversified Retail</v>
      </c>
      <c r="E114" s="8">
        <v>0.20249400000000001</v>
      </c>
      <c r="F114" s="11">
        <v>139.9</v>
      </c>
      <c r="G114" s="11">
        <v>-2.4</v>
      </c>
      <c r="H114" s="13" t="s">
        <v>660</v>
      </c>
      <c r="I114" s="9" cm="1">
        <f t="array" ref="I114">_FV(Table_0[[#This Row],[Symbol]],"P/E",TRUE)</f>
        <v>19.479600000000001</v>
      </c>
      <c r="J114" s="1" cm="1">
        <f t="array" ref="J114">_FV(Table_0[[#This Row],[Symbol]],"Market cap",TRUE)</f>
        <v>64403827331</v>
      </c>
    </row>
    <row r="115" spans="1:10" x14ac:dyDescent="0.25">
      <c r="A115">
        <v>112</v>
      </c>
      <c r="B115" t="s">
        <v>118</v>
      </c>
      <c r="C115" t="e" vm="112">
        <v>#VALUE!</v>
      </c>
      <c r="D115" t="str" cm="1">
        <f t="array" ref="D115">_FV(Table_0[[#This Row],[Symbol]],"Industry")</f>
        <v>Freight &amp; Logistics Services</v>
      </c>
      <c r="E115" s="8">
        <v>0.202123</v>
      </c>
      <c r="F115" s="11">
        <v>30.64</v>
      </c>
      <c r="G115" s="11">
        <v>-0.57999999999999996</v>
      </c>
      <c r="H115" s="13" t="s">
        <v>641</v>
      </c>
      <c r="I115" s="9" cm="1">
        <f t="array" ref="I115">_FV(Table_0[[#This Row],[Symbol]],"P/E",TRUE)</f>
        <v>16.603100000000001</v>
      </c>
      <c r="J115" s="1" cm="1">
        <f t="array" ref="J115">_FV(Table_0[[#This Row],[Symbol]],"Market cap",TRUE)</f>
        <v>64407299715</v>
      </c>
    </row>
    <row r="116" spans="1:10" x14ac:dyDescent="0.25">
      <c r="A116">
        <v>113</v>
      </c>
      <c r="B116" t="s">
        <v>124</v>
      </c>
      <c r="C116" t="e" vm="113">
        <v>#VALUE!</v>
      </c>
      <c r="D116" t="str" cm="1">
        <f t="array" ref="D116">_FV(Table_0[[#This Row],[Symbol]],"Industry")</f>
        <v>Professional &amp; Commercial Services</v>
      </c>
      <c r="E116" s="8">
        <v>0.19850999999999999</v>
      </c>
      <c r="F116" s="11">
        <v>98.54</v>
      </c>
      <c r="G116" s="11">
        <v>-2.6</v>
      </c>
      <c r="H116" s="13" t="s">
        <v>684</v>
      </c>
      <c r="I116" s="9" cm="1">
        <f t="array" ref="I116">_FV(Table_0[[#This Row],[Symbol]],"P/E",TRUE)</f>
        <v>31.7652</v>
      </c>
      <c r="J116" s="1" cm="1">
        <f t="array" ref="J116">_FV(Table_0[[#This Row],[Symbol]],"Market cap",TRUE)</f>
        <v>62575668974</v>
      </c>
    </row>
    <row r="117" spans="1:10" x14ac:dyDescent="0.25">
      <c r="A117">
        <v>114</v>
      </c>
      <c r="B117" t="s">
        <v>120</v>
      </c>
      <c r="C117" t="e" vm="114">
        <v>#VALUE!</v>
      </c>
      <c r="D117" t="str" cm="1">
        <f t="array" ref="D117">_FV(Table_0[[#This Row],[Symbol]],"Industry")</f>
        <v>Healthcare Providers &amp; Services</v>
      </c>
      <c r="E117" s="8">
        <v>0.19808799999999999</v>
      </c>
      <c r="F117" s="11">
        <v>507.17</v>
      </c>
      <c r="G117" s="11">
        <v>-0.94</v>
      </c>
      <c r="H117" s="13" t="s">
        <v>171</v>
      </c>
      <c r="I117" s="9" cm="1">
        <f t="array" ref="I117">_FV(Table_0[[#This Row],[Symbol]],"P/E",TRUE)</f>
        <v>23.0471</v>
      </c>
      <c r="J117" s="1" cm="1">
        <f t="array" ref="J117">_FV(Table_0[[#This Row],[Symbol]],"Market cap",TRUE)</f>
        <v>64207874151</v>
      </c>
    </row>
    <row r="118" spans="1:10" x14ac:dyDescent="0.25">
      <c r="A118">
        <v>115</v>
      </c>
      <c r="B118" t="s">
        <v>125</v>
      </c>
      <c r="C118" t="e" vm="115">
        <v>#VALUE!</v>
      </c>
      <c r="D118" t="str" cm="1">
        <f t="array" ref="D118">_FV(Table_0[[#This Row],[Symbol]],"Industry")</f>
        <v>Machinery, Equipment &amp; Components</v>
      </c>
      <c r="E118" s="8">
        <v>0.193268</v>
      </c>
      <c r="F118" s="11">
        <v>154.25</v>
      </c>
      <c r="G118" s="11">
        <v>-3.87</v>
      </c>
      <c r="H118" s="13" t="s">
        <v>683</v>
      </c>
      <c r="I118" s="9" cm="1">
        <f t="array" ref="I118">_FV(Table_0[[#This Row],[Symbol]],"P/E",TRUE)</f>
        <v>27.6784</v>
      </c>
      <c r="J118" s="1" cm="1">
        <f t="array" ref="J118">_FV(Table_0[[#This Row],[Symbol]],"Market cap",TRUE)</f>
        <v>61345225000</v>
      </c>
    </row>
    <row r="119" spans="1:10" x14ac:dyDescent="0.25">
      <c r="A119">
        <v>116</v>
      </c>
      <c r="B119" t="s">
        <v>126</v>
      </c>
      <c r="C119" t="e" vm="116">
        <v>#VALUE!</v>
      </c>
      <c r="D119" t="str" cm="1">
        <f t="array" ref="D119">_FV(Table_0[[#This Row],[Symbol]],"Industry")</f>
        <v>Insurance</v>
      </c>
      <c r="E119" s="8">
        <v>0.193026</v>
      </c>
      <c r="F119" s="11">
        <v>298.45999999999998</v>
      </c>
      <c r="G119" s="11">
        <v>-4.57</v>
      </c>
      <c r="H119" s="13" t="s">
        <v>776</v>
      </c>
      <c r="I119" s="9" cm="1">
        <f t="array" ref="I119">_FV(Table_0[[#This Row],[Symbol]],"P/E",TRUE)</f>
        <v>23.527799999999999</v>
      </c>
      <c r="J119" s="1" cm="1">
        <f t="array" ref="J119">_FV(Table_0[[#This Row],[Symbol]],"Market cap",TRUE)</f>
        <v>61749727708</v>
      </c>
    </row>
    <row r="120" spans="1:10" x14ac:dyDescent="0.25">
      <c r="A120">
        <v>117</v>
      </c>
      <c r="B120" t="s">
        <v>129</v>
      </c>
      <c r="C120" t="e" vm="117">
        <v>#VALUE!</v>
      </c>
      <c r="D120" t="str" cm="1">
        <f t="array" ref="D120">_FV(Table_0[[#This Row],[Symbol]],"Industry")</f>
        <v>Consumer Goods Conglomerates</v>
      </c>
      <c r="E120" s="8">
        <v>0.19217600000000001</v>
      </c>
      <c r="F120" s="11">
        <v>216.87</v>
      </c>
      <c r="G120" s="11">
        <v>-5.44</v>
      </c>
      <c r="H120" s="13" t="s">
        <v>683</v>
      </c>
      <c r="I120" s="9" cm="1">
        <f t="array" ref="I120">_FV(Table_0[[#This Row],[Symbol]],"P/E",TRUE)</f>
        <v>25.375399999999999</v>
      </c>
      <c r="J120" s="1" cm="1">
        <f t="array" ref="J120">_FV(Table_0[[#This Row],[Symbol]],"Market cap",TRUE)</f>
        <v>66619637442</v>
      </c>
    </row>
    <row r="121" spans="1:10" x14ac:dyDescent="0.25">
      <c r="A121">
        <v>118</v>
      </c>
      <c r="B121" t="s">
        <v>132</v>
      </c>
      <c r="C121" t="e" vm="118">
        <v>#VALUE!</v>
      </c>
      <c r="D121" t="str" cm="1">
        <f t="array" ref="D121">_FV(Table_0[[#This Row],[Symbol]],"Industry")</f>
        <v>Investment Banking &amp; Investment Services</v>
      </c>
      <c r="E121" s="8">
        <v>0.191494</v>
      </c>
      <c r="F121" s="11">
        <v>170.51</v>
      </c>
      <c r="G121" s="11">
        <v>-2.36</v>
      </c>
      <c r="H121" s="13" t="s">
        <v>601</v>
      </c>
      <c r="I121" s="9" cm="1">
        <f t="array" ref="I121">_FV(Table_0[[#This Row],[Symbol]],"P/E",TRUE)</f>
        <v>23.595500000000001</v>
      </c>
      <c r="J121" s="1" cm="1">
        <f t="array" ref="J121">_FV(Table_0[[#This Row],[Symbol]],"Market cap",TRUE)</f>
        <v>61336709750</v>
      </c>
    </row>
    <row r="122" spans="1:10" x14ac:dyDescent="0.25">
      <c r="A122">
        <v>119</v>
      </c>
      <c r="B122" t="s">
        <v>122</v>
      </c>
      <c r="C122" t="e" vm="119">
        <v>#VALUE!</v>
      </c>
      <c r="D122" t="str" cm="1">
        <f t="array" ref="D122">_FV(Table_0[[#This Row],[Symbol]],"Industry")</f>
        <v>Banking Services</v>
      </c>
      <c r="E122" s="8">
        <v>0.19114100000000001</v>
      </c>
      <c r="F122" s="11">
        <v>151.21</v>
      </c>
      <c r="G122" s="11">
        <v>-2.69</v>
      </c>
      <c r="H122" s="13" t="s">
        <v>722</v>
      </c>
      <c r="I122" s="9" cm="1">
        <f t="array" ref="I122">_FV(Table_0[[#This Row],[Symbol]],"P/E",TRUE)</f>
        <v>12.054</v>
      </c>
      <c r="J122" s="1" cm="1">
        <f t="array" ref="J122">_FV(Table_0[[#This Row],[Symbol]],"Market cap",TRUE)</f>
        <v>60973766420</v>
      </c>
    </row>
    <row r="123" spans="1:10" x14ac:dyDescent="0.25">
      <c r="A123">
        <v>120</v>
      </c>
      <c r="B123" t="s">
        <v>136</v>
      </c>
      <c r="C123" t="e" vm="120">
        <v>#VALUE!</v>
      </c>
      <c r="D123" t="str" cm="1">
        <f t="array" ref="D123">_FV(Table_0[[#This Row],[Symbol]],"Industry")</f>
        <v>Residential &amp; Commercial REIT</v>
      </c>
      <c r="E123" s="8">
        <v>0.18976100000000001</v>
      </c>
      <c r="F123" s="11">
        <v>646.51</v>
      </c>
      <c r="G123" s="11">
        <v>-19.440000000000001</v>
      </c>
      <c r="H123" s="13" t="s">
        <v>681</v>
      </c>
      <c r="I123" s="9" cm="1">
        <f t="array" ref="I123">_FV(Table_0[[#This Row],[Symbol]],"P/E",TRUE)</f>
        <v>87.155799999999999</v>
      </c>
      <c r="J123" s="1" cm="1">
        <f t="array" ref="J123">_FV(Table_0[[#This Row],[Symbol]],"Market cap",TRUE)</f>
        <v>59826819961</v>
      </c>
    </row>
    <row r="124" spans="1:10" x14ac:dyDescent="0.25">
      <c r="A124">
        <v>121</v>
      </c>
      <c r="B124" t="s">
        <v>135</v>
      </c>
      <c r="C124" t="e" vm="121">
        <v>#VALUE!</v>
      </c>
      <c r="D124" t="str" cm="1">
        <f t="array" ref="D124">_FV(Table_0[[#This Row],[Symbol]],"Industry")</f>
        <v>Semiconductors &amp; Semiconductor Equipment</v>
      </c>
      <c r="E124" s="8">
        <v>0.18823500000000001</v>
      </c>
      <c r="F124" s="11">
        <v>397.48</v>
      </c>
      <c r="G124" s="11">
        <v>-50.39</v>
      </c>
      <c r="H124" s="13" t="s">
        <v>858</v>
      </c>
      <c r="I124" s="9" cm="1">
        <f t="array" ref="I124">_FV(Table_0[[#This Row],[Symbol]],"P/E",TRUE)</f>
        <v>12.8438</v>
      </c>
      <c r="J124" s="1" cm="1">
        <f t="array" ref="J124">_FV(Table_0[[#This Row],[Symbol]],"Market cap",TRUE)</f>
        <v>54209407957</v>
      </c>
    </row>
    <row r="125" spans="1:10" x14ac:dyDescent="0.25">
      <c r="A125">
        <v>122</v>
      </c>
      <c r="B125" t="s">
        <v>131</v>
      </c>
      <c r="C125" t="e" vm="122">
        <v>#VALUE!</v>
      </c>
      <c r="D125" t="str" cm="1">
        <f t="array" ref="D125">_FV(Table_0[[#This Row],[Symbol]],"Industry")</f>
        <v>Professional &amp; Commercial Services</v>
      </c>
      <c r="E125" s="8">
        <v>0.18384200000000001</v>
      </c>
      <c r="F125" s="11">
        <v>157.21</v>
      </c>
      <c r="G125" s="11">
        <v>-2.0699999999999998</v>
      </c>
      <c r="H125" s="13" t="s">
        <v>643</v>
      </c>
      <c r="I125" s="9" cm="1">
        <f t="array" ref="I125">_FV(Table_0[[#This Row],[Symbol]],"P/E",TRUE)</f>
        <v>29.590900000000001</v>
      </c>
      <c r="J125" s="1" cm="1">
        <f t="array" ref="J125">_FV(Table_0[[#This Row],[Symbol]],"Market cap",TRUE)</f>
        <v>64529052505</v>
      </c>
    </row>
    <row r="126" spans="1:10" x14ac:dyDescent="0.25">
      <c r="A126">
        <v>123</v>
      </c>
      <c r="B126" t="s">
        <v>138</v>
      </c>
      <c r="C126" t="e" vm="123">
        <v>#VALUE!</v>
      </c>
      <c r="D126" t="str" cm="1">
        <f t="array" ref="D126">_FV(Table_0[[#This Row],[Symbol]],"Industry")</f>
        <v>Residential &amp; Commercial REIT</v>
      </c>
      <c r="E126" s="8">
        <v>0.17935899999999999</v>
      </c>
      <c r="F126" s="11">
        <v>133.52000000000001</v>
      </c>
      <c r="G126" s="11">
        <v>-0.98</v>
      </c>
      <c r="H126" s="13" t="s">
        <v>620</v>
      </c>
      <c r="I126" s="9" cm="1">
        <f t="array" ref="I126">_FV(Table_0[[#This Row],[Symbol]],"P/E",TRUE)</f>
        <v>36.166600000000003</v>
      </c>
      <c r="J126" s="1" cm="1">
        <f t="array" ref="J126">_FV(Table_0[[#This Row],[Symbol]],"Market cap",TRUE)</f>
        <v>57842221360</v>
      </c>
    </row>
    <row r="127" spans="1:10" x14ac:dyDescent="0.25">
      <c r="A127">
        <v>124</v>
      </c>
      <c r="B127" t="s">
        <v>139</v>
      </c>
      <c r="C127" t="e" vm="124">
        <v>#VALUE!</v>
      </c>
      <c r="D127" t="str" cm="1">
        <f t="array" ref="D127">_FV(Table_0[[#This Row],[Symbol]],"Industry")</f>
        <v>Banking Services</v>
      </c>
      <c r="E127" s="8">
        <v>0.17721600000000001</v>
      </c>
      <c r="F127" s="11">
        <v>42.43</v>
      </c>
      <c r="G127" s="11">
        <v>-0.28000000000000003</v>
      </c>
      <c r="H127" s="13" t="s">
        <v>627</v>
      </c>
      <c r="I127" s="9" cm="1">
        <f t="array" ref="I127">_FV(Table_0[[#This Row],[Symbol]],"P/E",TRUE)</f>
        <v>10.177099999999999</v>
      </c>
      <c r="J127" s="1" cm="1">
        <f t="array" ref="J127">_FV(Table_0[[#This Row],[Symbol]],"Market cap",TRUE)</f>
        <v>64928168060</v>
      </c>
    </row>
    <row r="128" spans="1:10" x14ac:dyDescent="0.25">
      <c r="A128">
        <v>125</v>
      </c>
      <c r="B128" t="s">
        <v>143</v>
      </c>
      <c r="C128" t="e" vm="125">
        <v>#VALUE!</v>
      </c>
      <c r="D128" t="str" cm="1">
        <f t="array" ref="D128">_FV(Table_0[[#This Row],[Symbol]],"Industry")</f>
        <v>Freight &amp; Logistics Services</v>
      </c>
      <c r="E128" s="8">
        <v>0.17587700000000001</v>
      </c>
      <c r="F128" s="11">
        <v>243.49</v>
      </c>
      <c r="G128" s="11">
        <v>-3.21</v>
      </c>
      <c r="H128" s="13" t="s">
        <v>643</v>
      </c>
      <c r="I128" s="9" cm="1">
        <f t="array" ref="I128">_FV(Table_0[[#This Row],[Symbol]],"P/E",TRUE)</f>
        <v>18.154800000000002</v>
      </c>
      <c r="J128" s="1" cm="1">
        <f t="array" ref="J128">_FV(Table_0[[#This Row],[Symbol]],"Market cap",TRUE)</f>
        <v>56371392558</v>
      </c>
    </row>
    <row r="129" spans="1:10" x14ac:dyDescent="0.25">
      <c r="A129">
        <v>126</v>
      </c>
      <c r="B129" t="s">
        <v>149</v>
      </c>
      <c r="C129" t="e" vm="126">
        <v>#VALUE!</v>
      </c>
      <c r="D129" t="str" cm="1">
        <f t="array" ref="D129">_FV(Table_0[[#This Row],[Symbol]],"Industry")</f>
        <v>Machinery, Equipment &amp; Components</v>
      </c>
      <c r="E129" s="8">
        <v>0.17585200000000001</v>
      </c>
      <c r="F129" s="11">
        <v>94.16</v>
      </c>
      <c r="G129" s="11">
        <v>-2.62</v>
      </c>
      <c r="H129" s="13" t="s">
        <v>732</v>
      </c>
      <c r="I129" s="9" cm="1">
        <f t="array" ref="I129">_FV(Table_0[[#This Row],[Symbol]],"P/E",TRUE)</f>
        <v>17.8643</v>
      </c>
      <c r="J129" s="1" cm="1">
        <f t="array" ref="J129">_FV(Table_0[[#This Row],[Symbol]],"Market cap",TRUE)</f>
        <v>55692138000</v>
      </c>
    </row>
    <row r="130" spans="1:10" x14ac:dyDescent="0.25">
      <c r="A130">
        <v>127</v>
      </c>
      <c r="B130" t="s">
        <v>141</v>
      </c>
      <c r="C130" t="e" vm="127">
        <v>#VALUE!</v>
      </c>
      <c r="D130" t="str" cm="1">
        <f t="array" ref="D130">_FV(Table_0[[#This Row],[Symbol]],"Industry")</f>
        <v>Investment Banking &amp; Investment Services</v>
      </c>
      <c r="E130" s="8">
        <v>0.175567</v>
      </c>
      <c r="F130" s="11">
        <v>101.13</v>
      </c>
      <c r="G130" s="11">
        <v>-1.43</v>
      </c>
      <c r="H130" s="13" t="s">
        <v>802</v>
      </c>
      <c r="I130" s="9" cm="1">
        <f t="array" ref="I130">_FV(Table_0[[#This Row],[Symbol]],"P/E",TRUE)</f>
        <v>22.706499999999998</v>
      </c>
      <c r="J130" s="1" cm="1">
        <f t="array" ref="J130">_FV(Table_0[[#This Row],[Symbol]],"Market cap",TRUE)</f>
        <v>56483530550</v>
      </c>
    </row>
    <row r="131" spans="1:10" x14ac:dyDescent="0.25">
      <c r="A131">
        <v>128</v>
      </c>
      <c r="B131" t="s">
        <v>144</v>
      </c>
      <c r="C131" t="e" vm="128">
        <v>#VALUE!</v>
      </c>
      <c r="D131" t="str" cm="1">
        <f t="array" ref="D131">_FV(Table_0[[#This Row],[Symbol]],"Industry")</f>
        <v>Chemicals</v>
      </c>
      <c r="E131" s="8">
        <v>0.17532300000000001</v>
      </c>
      <c r="F131" s="11">
        <v>239.56</v>
      </c>
      <c r="G131" s="11">
        <v>-2.65</v>
      </c>
      <c r="H131" s="13" t="s">
        <v>755</v>
      </c>
      <c r="I131" s="9" cm="1">
        <f t="array" ref="I131">_FV(Table_0[[#This Row],[Symbol]],"P/E",TRUE)</f>
        <v>32.767699999999998</v>
      </c>
      <c r="J131" s="1" cm="1">
        <f t="array" ref="J131">_FV(Table_0[[#This Row],[Symbol]],"Market cap",TRUE)</f>
        <v>62080392904</v>
      </c>
    </row>
    <row r="132" spans="1:10" x14ac:dyDescent="0.25">
      <c r="A132">
        <v>129</v>
      </c>
      <c r="B132" t="s">
        <v>166</v>
      </c>
      <c r="C132" t="e" vm="129">
        <v>#VALUE!</v>
      </c>
      <c r="D132" t="str" cm="1">
        <f t="array" ref="D132">_FV(Table_0[[#This Row],[Symbol]],"Industry")</f>
        <v>Personal &amp; Household Products &amp; Services</v>
      </c>
      <c r="E132" s="8">
        <v>0.17294200000000001</v>
      </c>
      <c r="F132" s="11">
        <v>239.65</v>
      </c>
      <c r="G132" s="11">
        <v>-4.22</v>
      </c>
      <c r="H132" s="13" t="s">
        <v>636</v>
      </c>
      <c r="I132" s="9" cm="1">
        <f t="array" ref="I132">_FV(Table_0[[#This Row],[Symbol]],"P/E",TRUE)</f>
        <v>40.6389</v>
      </c>
      <c r="J132" s="1" cm="1">
        <f t="array" ref="J132">_FV(Table_0[[#This Row],[Symbol]],"Market cap",TRUE)</f>
        <v>85510067695</v>
      </c>
    </row>
    <row r="133" spans="1:10" x14ac:dyDescent="0.25">
      <c r="A133">
        <v>130</v>
      </c>
      <c r="B133" t="s">
        <v>156</v>
      </c>
      <c r="C133" t="e" vm="130">
        <v>#VALUE!</v>
      </c>
      <c r="D133" t="str" cm="1">
        <f t="array" ref="D133">_FV(Table_0[[#This Row],[Symbol]],"Industry")</f>
        <v>Semiconductors &amp; Semiconductor Equipment</v>
      </c>
      <c r="E133" s="8">
        <v>0.17265800000000001</v>
      </c>
      <c r="F133" s="11">
        <v>367.95</v>
      </c>
      <c r="G133" s="11">
        <v>-28.84</v>
      </c>
      <c r="H133" s="13" t="s">
        <v>859</v>
      </c>
      <c r="I133" s="9" cm="1">
        <f t="array" ref="I133">_FV(Table_0[[#This Row],[Symbol]],"P/E",TRUE)</f>
        <v>17.923500000000001</v>
      </c>
      <c r="J133" s="1" cm="1">
        <f t="array" ref="J133">_FV(Table_0[[#This Row],[Symbol]],"Market cap",TRUE)</f>
        <v>52144539893</v>
      </c>
    </row>
    <row r="134" spans="1:10" x14ac:dyDescent="0.25">
      <c r="A134">
        <v>131</v>
      </c>
      <c r="B134" t="s">
        <v>148</v>
      </c>
      <c r="C134" t="e" vm="131">
        <v>#VALUE!</v>
      </c>
      <c r="D134" t="str" cm="1">
        <f t="array" ref="D134">_FV(Table_0[[#This Row],[Symbol]],"Industry")</f>
        <v>Aerospace &amp; Defense</v>
      </c>
      <c r="E134" s="8">
        <v>0.17249100000000001</v>
      </c>
      <c r="F134" s="11">
        <v>244.07</v>
      </c>
      <c r="G134" s="11">
        <v>-5.9</v>
      </c>
      <c r="H134" s="13" t="s">
        <v>734</v>
      </c>
      <c r="I134" s="9" cm="1">
        <f t="array" ref="I134">_FV(Table_0[[#This Row],[Symbol]],"P/E",TRUE)</f>
        <v>20.816700000000001</v>
      </c>
      <c r="J134" s="1" cm="1">
        <f t="array" ref="J134">_FV(Table_0[[#This Row],[Symbol]],"Market cap",TRUE)</f>
        <v>67018783645</v>
      </c>
    </row>
    <row r="135" spans="1:10" x14ac:dyDescent="0.25">
      <c r="A135">
        <v>132</v>
      </c>
      <c r="B135" t="s">
        <v>133</v>
      </c>
      <c r="C135" t="e" vm="132">
        <v>#VALUE!</v>
      </c>
      <c r="D135" t="str" cm="1">
        <f t="array" ref="D135">_FV(Table_0[[#This Row],[Symbol]],"Industry")</f>
        <v>Semiconductors &amp; Semiconductor Equipment</v>
      </c>
      <c r="E135" s="8">
        <v>0.171375</v>
      </c>
      <c r="F135" s="11">
        <v>48.55</v>
      </c>
      <c r="G135" s="11">
        <v>-2.64</v>
      </c>
      <c r="H135" s="13" t="s">
        <v>860</v>
      </c>
      <c r="I135" s="9" cm="1">
        <f t="array" ref="I135">_FV(Table_0[[#This Row],[Symbol]],"P/E",TRUE)</f>
        <v>6.6191000000000004</v>
      </c>
      <c r="J135" s="1" cm="1">
        <f t="array" ref="J135">_FV(Table_0[[#This Row],[Symbol]],"Market cap",TRUE)</f>
        <v>52973764080</v>
      </c>
    </row>
    <row r="136" spans="1:10" x14ac:dyDescent="0.25">
      <c r="A136">
        <v>133</v>
      </c>
      <c r="B136" t="s">
        <v>137</v>
      </c>
      <c r="C136" t="e" vm="133">
        <v>#VALUE!</v>
      </c>
      <c r="D136" t="str" cm="1">
        <f t="array" ref="D136">_FV(Table_0[[#This Row],[Symbol]],"Industry")</f>
        <v>Banking Services</v>
      </c>
      <c r="E136" s="8">
        <v>0.17057600000000001</v>
      </c>
      <c r="F136" s="11">
        <v>41.29</v>
      </c>
      <c r="G136" s="11">
        <v>-0.46</v>
      </c>
      <c r="H136" s="13" t="s">
        <v>730</v>
      </c>
      <c r="I136" s="9" cm="1">
        <f t="array" ref="I136">_FV(Table_0[[#This Row],[Symbol]],"P/E",TRUE)</f>
        <v>9.5747</v>
      </c>
      <c r="J136" s="1" cm="1">
        <f t="array" ref="J136">_FV(Table_0[[#This Row],[Symbol]],"Market cap",TRUE)</f>
        <v>54782168140</v>
      </c>
    </row>
    <row r="137" spans="1:10" x14ac:dyDescent="0.25">
      <c r="A137">
        <v>134</v>
      </c>
      <c r="B137" t="s">
        <v>145</v>
      </c>
      <c r="C137" t="e" vm="134">
        <v>#VALUE!</v>
      </c>
      <c r="D137" t="str" cm="1">
        <f t="array" ref="D137">_FV(Table_0[[#This Row],[Symbol]],"Industry")</f>
        <v>Diversified Retail</v>
      </c>
      <c r="E137" s="8">
        <v>0.170128</v>
      </c>
      <c r="F137" s="11">
        <v>243.13</v>
      </c>
      <c r="G137" s="11">
        <v>-1.42</v>
      </c>
      <c r="H137" s="13" t="s">
        <v>366</v>
      </c>
      <c r="I137" s="9" cm="1">
        <f t="array" ref="I137">_FV(Table_0[[#This Row],[Symbol]],"P/E",TRUE)</f>
        <v>23.768000000000001</v>
      </c>
      <c r="J137" s="1" cm="1">
        <f t="array" ref="J137">_FV(Table_0[[#This Row],[Symbol]],"Market cap",TRUE)</f>
        <v>54356623250</v>
      </c>
    </row>
    <row r="138" spans="1:10" x14ac:dyDescent="0.25">
      <c r="A138">
        <v>135</v>
      </c>
      <c r="B138" t="s">
        <v>158</v>
      </c>
      <c r="C138" t="e" vm="135">
        <v>#VALUE!</v>
      </c>
      <c r="D138" t="str" cm="1">
        <f t="array" ref="D138">_FV(Table_0[[#This Row],[Symbol]],"Industry")</f>
        <v>Metals &amp; Mining</v>
      </c>
      <c r="E138" s="8">
        <v>0.168734</v>
      </c>
      <c r="F138" s="11">
        <v>37.119999999999997</v>
      </c>
      <c r="G138" s="11">
        <v>-1.34</v>
      </c>
      <c r="H138" s="13" t="s">
        <v>811</v>
      </c>
      <c r="I138" s="9" cm="1">
        <f t="array" ref="I138">_FV(Table_0[[#This Row],[Symbol]],"P/E",TRUE)</f>
        <v>14.5623</v>
      </c>
      <c r="J138" s="1" cm="1">
        <f t="array" ref="J138">_FV(Table_0[[#This Row],[Symbol]],"Market cap",TRUE)</f>
        <v>53035178334</v>
      </c>
    </row>
    <row r="139" spans="1:10" x14ac:dyDescent="0.25">
      <c r="A139">
        <v>136</v>
      </c>
      <c r="B139" t="s">
        <v>150</v>
      </c>
      <c r="C139" t="e" vm="136">
        <v>#VALUE!</v>
      </c>
      <c r="D139" t="str" cm="1">
        <f t="array" ref="D139">_FV(Table_0[[#This Row],[Symbol]],"Industry")</f>
        <v>Pharmaceuticals</v>
      </c>
      <c r="E139" s="8">
        <v>0.16782900000000001</v>
      </c>
      <c r="F139" s="11">
        <v>382.93</v>
      </c>
      <c r="G139" s="11">
        <v>2.4700000000000002</v>
      </c>
      <c r="H139" s="13" t="s">
        <v>426</v>
      </c>
      <c r="I139" s="9" cm="1">
        <f t="array" ref="I139">_FV(Table_0[[#This Row],[Symbol]],"P/E",TRUE)</f>
        <v>26.8782</v>
      </c>
      <c r="J139" s="1" cm="1">
        <f t="array" ref="J139">_FV(Table_0[[#This Row],[Symbol]],"Market cap",TRUE)</f>
        <v>54376060000</v>
      </c>
    </row>
    <row r="140" spans="1:10" x14ac:dyDescent="0.25">
      <c r="A140">
        <v>137</v>
      </c>
      <c r="B140" t="s">
        <v>155</v>
      </c>
      <c r="C140" t="e" vm="137">
        <v>#VALUE!</v>
      </c>
      <c r="D140" t="str" cm="1">
        <f t="array" ref="D140">_FV(Table_0[[#This Row],[Symbol]],"Industry")</f>
        <v>Software &amp; IT Services</v>
      </c>
      <c r="E140" s="8">
        <v>0.165797</v>
      </c>
      <c r="F140" s="11">
        <v>75.59</v>
      </c>
      <c r="G140" s="11">
        <v>-0.3</v>
      </c>
      <c r="H140" s="13" t="s">
        <v>587</v>
      </c>
      <c r="I140" s="9" cm="1">
        <f t="array" ref="I140">_FV(Table_0[[#This Row],[Symbol]],"P/E",TRUE)</f>
        <v>35.652700000000003</v>
      </c>
      <c r="J140" s="1" cm="1">
        <f t="array" ref="J140">_FV(Table_0[[#This Row],[Symbol]],"Market cap",TRUE)</f>
        <v>59158646427</v>
      </c>
    </row>
    <row r="141" spans="1:10" x14ac:dyDescent="0.25">
      <c r="A141">
        <v>138</v>
      </c>
      <c r="B141" t="s">
        <v>134</v>
      </c>
      <c r="C141" t="e" vm="138">
        <v>#VALUE!</v>
      </c>
      <c r="D141" t="str" cm="1">
        <f t="array" ref="D141">_FV(Table_0[[#This Row],[Symbol]],"Industry")</f>
        <v>Oil &amp; Gas</v>
      </c>
      <c r="E141" s="8">
        <v>0.16531699999999999</v>
      </c>
      <c r="F141" s="11">
        <v>111.04</v>
      </c>
      <c r="G141" s="11">
        <v>-3.51</v>
      </c>
      <c r="H141" s="13" t="s">
        <v>744</v>
      </c>
      <c r="I141" s="9" cm="1">
        <f t="array" ref="I141">_FV(Table_0[[#This Row],[Symbol]],"P/E",TRUE)</f>
        <v>5.0278</v>
      </c>
      <c r="J141" s="1" cm="1">
        <f t="array" ref="J141">_FV(Table_0[[#This Row],[Symbol]],"Market cap",TRUE)</f>
        <v>52040095232</v>
      </c>
    </row>
    <row r="142" spans="1:10" x14ac:dyDescent="0.25">
      <c r="A142">
        <v>139</v>
      </c>
      <c r="B142" t="s">
        <v>142</v>
      </c>
      <c r="C142" t="e" vm="139">
        <v>#VALUE!</v>
      </c>
      <c r="D142" t="str" cm="1">
        <f t="array" ref="D142">_FV(Table_0[[#This Row],[Symbol]],"Industry")</f>
        <v>Oil &amp; Gas</v>
      </c>
      <c r="E142" s="8">
        <v>0.16517699999999999</v>
      </c>
      <c r="F142" s="11">
        <v>220.11</v>
      </c>
      <c r="G142" s="11">
        <v>-5.46</v>
      </c>
      <c r="H142" s="13" t="s">
        <v>714</v>
      </c>
      <c r="I142" s="9" cm="1">
        <f t="array" ref="I142">_FV(Table_0[[#This Row],[Symbol]],"P/E",TRUE)</f>
        <v>8.0475999999999992</v>
      </c>
      <c r="J142" s="1" cm="1">
        <f t="array" ref="J142">_FV(Table_0[[#This Row],[Symbol]],"Market cap",TRUE)</f>
        <v>52296661863</v>
      </c>
    </row>
    <row r="143" spans="1:10" x14ac:dyDescent="0.25">
      <c r="A143">
        <v>140</v>
      </c>
      <c r="B143" t="s">
        <v>151</v>
      </c>
      <c r="C143" t="e" vm="140">
        <v>#VALUE!</v>
      </c>
      <c r="D143" t="str" cm="1">
        <f t="array" ref="D143">_FV(Table_0[[#This Row],[Symbol]],"Industry")</f>
        <v>Specialty Retailers</v>
      </c>
      <c r="E143" s="8">
        <v>0.160636</v>
      </c>
      <c r="F143" s="11">
        <v>827.68</v>
      </c>
      <c r="G143" s="11">
        <v>-5.94</v>
      </c>
      <c r="H143" s="13" t="s">
        <v>588</v>
      </c>
      <c r="I143" s="9" cm="1">
        <f t="array" ref="I143">_FV(Table_0[[#This Row],[Symbol]],"P/E",TRUE)</f>
        <v>25.445699999999999</v>
      </c>
      <c r="J143" s="1" cm="1">
        <f t="array" ref="J143">_FV(Table_0[[#This Row],[Symbol]],"Market cap",TRUE)</f>
        <v>51792829188</v>
      </c>
    </row>
    <row r="144" spans="1:10" x14ac:dyDescent="0.25">
      <c r="A144">
        <v>141</v>
      </c>
      <c r="B144" t="s">
        <v>164</v>
      </c>
      <c r="C144" t="e" vm="141">
        <v>#VALUE!</v>
      </c>
      <c r="D144" t="str" cm="1">
        <f t="array" ref="D144">_FV(Table_0[[#This Row],[Symbol]],"Industry")</f>
        <v>Healthcare Providers &amp; Services</v>
      </c>
      <c r="E144" s="8">
        <v>0.16048100000000001</v>
      </c>
      <c r="F144" s="11">
        <v>237.34</v>
      </c>
      <c r="G144" s="11">
        <v>-5.56</v>
      </c>
      <c r="H144" s="13" t="s">
        <v>638</v>
      </c>
      <c r="I144" s="9" cm="1">
        <f t="array" ref="I144">_FV(Table_0[[#This Row],[Symbol]],"P/E",TRUE)</f>
        <v>13.716200000000001</v>
      </c>
      <c r="J144" s="1" cm="1">
        <f t="array" ref="J144">_FV(Table_0[[#This Row],[Symbol]],"Market cap",TRUE)</f>
        <v>67090086493</v>
      </c>
    </row>
    <row r="145" spans="1:10" x14ac:dyDescent="0.25">
      <c r="A145">
        <v>142</v>
      </c>
      <c r="B145" t="s">
        <v>154</v>
      </c>
      <c r="C145" t="e" vm="142">
        <v>#VALUE!</v>
      </c>
      <c r="D145" t="str" cm="1">
        <f t="array" ref="D145">_FV(Table_0[[#This Row],[Symbol]],"Industry")</f>
        <v>Food &amp; Tobacco</v>
      </c>
      <c r="E145" s="8">
        <v>0.15947</v>
      </c>
      <c r="F145" s="11">
        <v>92.85</v>
      </c>
      <c r="G145" s="11">
        <v>-1.42</v>
      </c>
      <c r="H145" s="13" t="s">
        <v>776</v>
      </c>
      <c r="I145" s="9" cm="1">
        <f t="array" ref="I145">_FV(Table_0[[#This Row],[Symbol]],"P/E",TRUE)</f>
        <v>13.012499999999999</v>
      </c>
      <c r="J145" s="1" cm="1">
        <f t="array" ref="J145">_FV(Table_0[[#This Row],[Symbol]],"Market cap",TRUE)</f>
        <v>50994693786</v>
      </c>
    </row>
    <row r="146" spans="1:10" x14ac:dyDescent="0.25">
      <c r="A146">
        <v>143</v>
      </c>
      <c r="B146" t="s">
        <v>147</v>
      </c>
      <c r="C146" t="e" vm="143">
        <v>#VALUE!</v>
      </c>
      <c r="D146" t="str" cm="1">
        <f t="array" ref="D146">_FV(Table_0[[#This Row],[Symbol]],"Industry")</f>
        <v>Automobiles &amp; Auto Parts</v>
      </c>
      <c r="E146" s="8">
        <v>0.157058</v>
      </c>
      <c r="F146" s="11">
        <v>33.58</v>
      </c>
      <c r="G146" s="11">
        <v>-2.3199999999999998</v>
      </c>
      <c r="H146" s="13" t="s">
        <v>861</v>
      </c>
      <c r="I146" s="9" cm="1">
        <f t="array" ref="I146">_FV(Table_0[[#This Row],[Symbol]],"P/E",TRUE)</f>
        <v>6.0933000000000002</v>
      </c>
      <c r="J146" s="1" cm="1">
        <f t="array" ref="J146">_FV(Table_0[[#This Row],[Symbol]],"Market cap",TRUE)</f>
        <v>47707005260</v>
      </c>
    </row>
    <row r="147" spans="1:10" x14ac:dyDescent="0.25">
      <c r="A147">
        <v>144</v>
      </c>
      <c r="B147" t="s">
        <v>168</v>
      </c>
      <c r="C147" t="e" vm="144">
        <v>#VALUE!</v>
      </c>
      <c r="D147" t="str" cm="1">
        <f t="array" ref="D147">_FV(Table_0[[#This Row],[Symbol]],"Industry")</f>
        <v>Food &amp; Tobacco</v>
      </c>
      <c r="E147" s="8">
        <v>0.15607599999999999</v>
      </c>
      <c r="F147" s="11">
        <v>84.93</v>
      </c>
      <c r="G147" s="11">
        <v>-0.43</v>
      </c>
      <c r="H147" s="13" t="s">
        <v>827</v>
      </c>
      <c r="I147" s="9" cm="1">
        <f t="array" ref="I147">_FV(Table_0[[#This Row],[Symbol]],"P/E",TRUE)</f>
        <v>17.832000000000001</v>
      </c>
      <c r="J147" s="1" cm="1">
        <f t="array" ref="J147">_FV(Table_0[[#This Row],[Symbol]],"Market cap",TRUE)</f>
        <v>50075636751</v>
      </c>
    </row>
    <row r="148" spans="1:10" x14ac:dyDescent="0.25">
      <c r="A148">
        <v>145</v>
      </c>
      <c r="B148" t="s">
        <v>165</v>
      </c>
      <c r="C148" t="e" vm="145">
        <v>#VALUE!</v>
      </c>
      <c r="D148" t="str" cm="1">
        <f t="array" ref="D148">_FV(Table_0[[#This Row],[Symbol]],"Industry")</f>
        <v>Software &amp; IT Services</v>
      </c>
      <c r="E148" s="8">
        <v>0.15465200000000001</v>
      </c>
      <c r="F148" s="11">
        <v>318.58</v>
      </c>
      <c r="G148" s="11">
        <v>-11.64</v>
      </c>
      <c r="H148" s="13" t="s">
        <v>810</v>
      </c>
      <c r="I148" s="9" cm="1">
        <f t="array" ref="I148">_FV(Table_0[[#This Row],[Symbol]],"P/E",TRUE)</f>
        <v>52.473700000000001</v>
      </c>
      <c r="J148" s="1" cm="1">
        <f t="array" ref="J148">_FV(Table_0[[#This Row],[Symbol]],"Market cap",TRUE)</f>
        <v>48557071576</v>
      </c>
    </row>
    <row r="149" spans="1:10" x14ac:dyDescent="0.25">
      <c r="A149">
        <v>146</v>
      </c>
      <c r="B149" t="s">
        <v>163</v>
      </c>
      <c r="C149" t="e" vm="146">
        <v>#VALUE!</v>
      </c>
      <c r="D149" t="str" cm="1">
        <f t="array" ref="D149">_FV(Table_0[[#This Row],[Symbol]],"Industry")</f>
        <v>Electrical Utilities &amp; IPPs</v>
      </c>
      <c r="E149" s="8">
        <v>0.153418</v>
      </c>
      <c r="F149" s="11">
        <v>59.63</v>
      </c>
      <c r="G149" s="11">
        <v>-0.42</v>
      </c>
      <c r="H149" s="13" t="s">
        <v>187</v>
      </c>
      <c r="I149" s="9" cm="1">
        <f t="array" ref="I149">_FV(Table_0[[#This Row],[Symbol]],"P/E",TRUE)</f>
        <v>28.395800000000001</v>
      </c>
      <c r="J149" s="1" cm="1">
        <f t="array" ref="J149">_FV(Table_0[[#This Row],[Symbol]],"Market cap",TRUE)</f>
        <v>49688200176</v>
      </c>
    </row>
    <row r="150" spans="1:10" x14ac:dyDescent="0.25">
      <c r="A150">
        <v>147</v>
      </c>
      <c r="B150" t="s">
        <v>159</v>
      </c>
      <c r="C150" t="e" vm="147">
        <v>#VALUE!</v>
      </c>
      <c r="D150" t="str" cm="1">
        <f t="array" ref="D150">_FV(Table_0[[#This Row],[Symbol]],"Industry")</f>
        <v>Oil &amp; Gas</v>
      </c>
      <c r="E150" s="8">
        <v>0.15212000000000001</v>
      </c>
      <c r="F150" s="11">
        <v>100.36</v>
      </c>
      <c r="G150" s="11">
        <v>-2.99</v>
      </c>
      <c r="H150" s="13" t="s">
        <v>738</v>
      </c>
      <c r="I150" s="9" cm="1">
        <f t="array" ref="I150">_FV(Table_0[[#This Row],[Symbol]],"P/E",TRUE)</f>
        <v>4.7298</v>
      </c>
      <c r="J150" s="1" cm="1">
        <f t="array" ref="J150">_FV(Table_0[[#This Row],[Symbol]],"Market cap",TRUE)</f>
        <v>47419188626</v>
      </c>
    </row>
    <row r="151" spans="1:10" x14ac:dyDescent="0.25">
      <c r="A151">
        <v>148</v>
      </c>
      <c r="B151" t="s">
        <v>160</v>
      </c>
      <c r="C151" t="e" vm="148">
        <v>#VALUE!</v>
      </c>
      <c r="D151" t="str" cm="1">
        <f t="array" ref="D151">_FV(Table_0[[#This Row],[Symbol]],"Industry")</f>
        <v>Multiline Utilities</v>
      </c>
      <c r="E151" s="8">
        <v>0.15171899999999999</v>
      </c>
      <c r="F151" s="11">
        <v>154.41999999999999</v>
      </c>
      <c r="G151" s="11">
        <v>-2.3199999999999998</v>
      </c>
      <c r="H151" s="13" t="s">
        <v>644</v>
      </c>
      <c r="I151" s="9" cm="1">
        <f t="array" ref="I151">_FV(Table_0[[#This Row],[Symbol]],"P/E",TRUE)</f>
        <v>22.0001</v>
      </c>
      <c r="J151" s="1" cm="1">
        <f t="array" ref="J151">_FV(Table_0[[#This Row],[Symbol]],"Market cap",TRUE)</f>
        <v>48567653634</v>
      </c>
    </row>
    <row r="152" spans="1:10" x14ac:dyDescent="0.25">
      <c r="A152">
        <v>149</v>
      </c>
      <c r="B152" t="s">
        <v>169</v>
      </c>
      <c r="C152" t="e" vm="149">
        <v>#VALUE!</v>
      </c>
      <c r="D152" t="str" cm="1">
        <f t="array" ref="D152">_FV(Table_0[[#This Row],[Symbol]],"Industry")</f>
        <v>Electrical Utilities &amp; IPPs</v>
      </c>
      <c r="E152" s="8">
        <v>0.150866</v>
      </c>
      <c r="F152" s="11">
        <v>93.43</v>
      </c>
      <c r="G152" s="11">
        <v>-1.91</v>
      </c>
      <c r="H152" s="13" t="s">
        <v>606</v>
      </c>
      <c r="I152" s="9" cm="1">
        <f t="array" ref="I152">_FV(Table_0[[#This Row],[Symbol]],"P/E",TRUE)</f>
        <v>19.771100000000001</v>
      </c>
      <c r="J152" s="1" cm="1">
        <f t="array" ref="J152">_FV(Table_0[[#This Row],[Symbol]],"Market cap",TRUE)</f>
        <v>48010285491</v>
      </c>
    </row>
    <row r="153" spans="1:10" x14ac:dyDescent="0.25">
      <c r="A153">
        <v>150</v>
      </c>
      <c r="B153" t="s">
        <v>162</v>
      </c>
      <c r="C153" t="e" vm="150">
        <v>#VALUE!</v>
      </c>
      <c r="D153" t="str" cm="1">
        <f t="array" ref="D153">_FV(Table_0[[#This Row],[Symbol]],"Industry")</f>
        <v>Insurance</v>
      </c>
      <c r="E153" s="8">
        <v>0.149757</v>
      </c>
      <c r="F153" s="11">
        <v>71.23</v>
      </c>
      <c r="G153" s="11">
        <v>-1.61</v>
      </c>
      <c r="H153" s="13" t="s">
        <v>694</v>
      </c>
      <c r="I153" s="9" cm="1">
        <f t="array" ref="I153">_FV(Table_0[[#This Row],[Symbol]],"P/E",TRUE)</f>
        <v>27.3675</v>
      </c>
      <c r="J153" s="1" cm="1">
        <f t="array" ref="J153">_FV(Table_0[[#This Row],[Symbol]],"Market cap",TRUE)</f>
        <v>55895345687</v>
      </c>
    </row>
    <row r="154" spans="1:10" x14ac:dyDescent="0.25">
      <c r="A154">
        <v>151</v>
      </c>
      <c r="B154" t="s">
        <v>157</v>
      </c>
      <c r="C154" t="e" vm="151">
        <v>#VALUE!</v>
      </c>
      <c r="D154" t="str" cm="1">
        <f t="array" ref="D154">_FV(Table_0[[#This Row],[Symbol]],"Industry")</f>
        <v>Oil &amp; Gas</v>
      </c>
      <c r="E154" s="8">
        <v>0.14564099999999999</v>
      </c>
      <c r="F154" s="11">
        <v>119.74</v>
      </c>
      <c r="G154" s="11">
        <v>-2.95</v>
      </c>
      <c r="H154" s="13" t="s">
        <v>800</v>
      </c>
      <c r="I154" s="9" cm="1">
        <f t="array" ref="I154">_FV(Table_0[[#This Row],[Symbol]],"P/E",TRUE)</f>
        <v>5.2305999999999999</v>
      </c>
      <c r="J154" s="1" cm="1">
        <f t="array" ref="J154">_FV(Table_0[[#This Row],[Symbol]],"Market cap",TRUE)</f>
        <v>46164487558</v>
      </c>
    </row>
    <row r="155" spans="1:10" x14ac:dyDescent="0.25">
      <c r="A155">
        <v>152</v>
      </c>
      <c r="B155" t="s">
        <v>174</v>
      </c>
      <c r="C155" t="e" vm="152">
        <v>#VALUE!</v>
      </c>
      <c r="D155" t="str" cm="1">
        <f t="array" ref="D155">_FV(Table_0[[#This Row],[Symbol]],"Industry")</f>
        <v>Insurance</v>
      </c>
      <c r="E155" s="8">
        <v>0.144895</v>
      </c>
      <c r="F155" s="11">
        <v>61.82</v>
      </c>
      <c r="G155" s="11">
        <v>-1.51</v>
      </c>
      <c r="H155" s="13" t="s">
        <v>830</v>
      </c>
      <c r="I155" s="9" cm="1">
        <f t="array" ref="I155">_FV(Table_0[[#This Row],[Symbol]],"P/E",TRUE)</f>
        <v>3.7576999999999998</v>
      </c>
      <c r="J155" s="1" cm="1">
        <f t="array" ref="J155">_FV(Table_0[[#This Row],[Symbol]],"Market cap",TRUE)</f>
        <v>45938453400</v>
      </c>
    </row>
    <row r="156" spans="1:10" x14ac:dyDescent="0.25">
      <c r="A156">
        <v>153</v>
      </c>
      <c r="B156" t="s">
        <v>170</v>
      </c>
      <c r="C156" t="e" vm="153">
        <v>#VALUE!</v>
      </c>
      <c r="D156" t="str" cm="1">
        <f t="array" ref="D156">_FV(Table_0[[#This Row],[Symbol]],"Industry")</f>
        <v>Healthcare Providers &amp; Services</v>
      </c>
      <c r="E156" s="8">
        <v>0.14322099999999999</v>
      </c>
      <c r="F156" s="11">
        <v>82.14</v>
      </c>
      <c r="G156" s="11">
        <v>0.49</v>
      </c>
      <c r="H156" s="13" t="s">
        <v>123</v>
      </c>
      <c r="I156" s="9" cm="1">
        <f t="array" ref="I156">_FV(Table_0[[#This Row],[Symbol]],"P/E",TRUE)</f>
        <v>23.8306</v>
      </c>
      <c r="J156" s="1" cm="1">
        <f t="array" ref="J156">_FV(Table_0[[#This Row],[Symbol]],"Market cap",TRUE)</f>
        <v>46512571758</v>
      </c>
    </row>
    <row r="157" spans="1:10" x14ac:dyDescent="0.25">
      <c r="A157">
        <v>154</v>
      </c>
      <c r="B157" t="s">
        <v>153</v>
      </c>
      <c r="C157" t="e" vm="154">
        <v>#VALUE!</v>
      </c>
      <c r="D157" t="str" cm="1">
        <f t="array" ref="D157">_FV(Table_0[[#This Row],[Symbol]],"Industry")</f>
        <v>Automobiles &amp; Auto Parts</v>
      </c>
      <c r="E157" s="8">
        <v>0.14277000000000001</v>
      </c>
      <c r="F157" s="11">
        <v>11.14</v>
      </c>
      <c r="G157" s="11">
        <v>-0.64</v>
      </c>
      <c r="H157" s="13" t="s">
        <v>862</v>
      </c>
      <c r="I157" s="9" cm="1">
        <f t="array" ref="I157">_FV(Table_0[[#This Row],[Symbol]],"P/E",TRUE)</f>
        <v>5.3357000000000001</v>
      </c>
      <c r="J157" s="1" cm="1">
        <f t="array" ref="J157">_FV(Table_0[[#This Row],[Symbol]],"Market cap",TRUE)</f>
        <v>44768200690</v>
      </c>
    </row>
    <row r="158" spans="1:10" x14ac:dyDescent="0.25">
      <c r="A158">
        <v>155</v>
      </c>
      <c r="B158" t="s">
        <v>161</v>
      </c>
      <c r="C158" t="e" vm="155">
        <v>#VALUE!</v>
      </c>
      <c r="D158" t="str" cm="1">
        <f t="array" ref="D158">_FV(Table_0[[#This Row],[Symbol]],"Industry")</f>
        <v>Oil &amp; Gas</v>
      </c>
      <c r="E158" s="8">
        <v>0.14269999999999999</v>
      </c>
      <c r="F158" s="11">
        <v>61.53</v>
      </c>
      <c r="G158" s="11">
        <v>-2.2000000000000002</v>
      </c>
      <c r="H158" s="13" t="s">
        <v>813</v>
      </c>
      <c r="I158" s="9" cm="1">
        <f t="array" ref="I158">_FV(Table_0[[#This Row],[Symbol]],"P/E",TRUE)</f>
        <v>5.2755999999999998</v>
      </c>
      <c r="J158" s="1" cm="1">
        <f t="array" ref="J158">_FV(Table_0[[#This Row],[Symbol]],"Market cap",TRUE)</f>
        <v>55920940002</v>
      </c>
    </row>
    <row r="159" spans="1:10" x14ac:dyDescent="0.25">
      <c r="A159">
        <v>156</v>
      </c>
      <c r="B159" t="s">
        <v>172</v>
      </c>
      <c r="C159" t="e" vm="156">
        <v>#VALUE!</v>
      </c>
      <c r="D159" t="str" cm="1">
        <f t="array" ref="D159">_FV(Table_0[[#This Row],[Symbol]],"Industry")</f>
        <v>Healthcare Equipment &amp; Supplies</v>
      </c>
      <c r="E159" s="8">
        <v>0.14241000000000001</v>
      </c>
      <c r="F159" s="11">
        <v>73.489999999999995</v>
      </c>
      <c r="G159" s="11">
        <v>-1.27</v>
      </c>
      <c r="H159" s="13" t="s">
        <v>769</v>
      </c>
      <c r="I159" s="9" cm="1">
        <f t="array" ref="I159">_FV(Table_0[[#This Row],[Symbol]],"P/E",TRUE)</f>
        <v>32.185200000000002</v>
      </c>
      <c r="J159" s="1" cm="1">
        <f t="array" ref="J159">_FV(Table_0[[#This Row],[Symbol]],"Market cap",TRUE)</f>
        <v>45435964145</v>
      </c>
    </row>
    <row r="160" spans="1:10" x14ac:dyDescent="0.25">
      <c r="A160">
        <v>157</v>
      </c>
      <c r="B160" t="s">
        <v>167</v>
      </c>
      <c r="C160" t="e" vm="157">
        <v>#VALUE!</v>
      </c>
      <c r="D160" t="str" cm="1">
        <f t="array" ref="D160">_FV(Table_0[[#This Row],[Symbol]],"Industry")</f>
        <v>Specialty Retailers</v>
      </c>
      <c r="E160" s="8">
        <v>0.142036</v>
      </c>
      <c r="F160" s="11">
        <v>2385.7600000000002</v>
      </c>
      <c r="G160" s="11">
        <v>-44.72</v>
      </c>
      <c r="H160" s="13" t="s">
        <v>717</v>
      </c>
      <c r="I160" s="9" cm="1">
        <f t="array" ref="I160">_FV(Table_0[[#This Row],[Symbol]],"P/E",TRUE)</f>
        <v>20.433800000000002</v>
      </c>
      <c r="J160" s="1" cm="1">
        <f t="array" ref="J160">_FV(Table_0[[#This Row],[Symbol]],"Market cap",TRUE)</f>
        <v>44794404916</v>
      </c>
    </row>
    <row r="161" spans="1:10" x14ac:dyDescent="0.25">
      <c r="A161">
        <v>158</v>
      </c>
      <c r="B161" t="s">
        <v>181</v>
      </c>
      <c r="C161" t="e" vm="158">
        <v>#VALUE!</v>
      </c>
      <c r="D161" t="str" cm="1">
        <f t="array" ref="D161">_FV(Table_0[[#This Row],[Symbol]],"Industry")</f>
        <v>Personal &amp; Household Products &amp; Services</v>
      </c>
      <c r="E161" s="8">
        <v>0.1419</v>
      </c>
      <c r="F161" s="11">
        <v>136.30000000000001</v>
      </c>
      <c r="G161" s="11">
        <v>-0.66</v>
      </c>
      <c r="H161" s="13" t="s">
        <v>216</v>
      </c>
      <c r="I161" s="9" cm="1">
        <f t="array" ref="I161">_FV(Table_0[[#This Row],[Symbol]],"P/E",TRUE)</f>
        <v>25.9955</v>
      </c>
      <c r="J161" s="1" cm="1">
        <f t="array" ref="J161">_FV(Table_0[[#This Row],[Symbol]],"Market cap",TRUE)</f>
        <v>46024641407</v>
      </c>
    </row>
    <row r="162" spans="1:10" x14ac:dyDescent="0.25">
      <c r="A162">
        <v>159</v>
      </c>
      <c r="B162" t="s">
        <v>175</v>
      </c>
      <c r="C162" t="e" vm="159">
        <v>#VALUE!</v>
      </c>
      <c r="D162" t="str" cm="1">
        <f t="array" ref="D162">_FV(Table_0[[#This Row],[Symbol]],"Industry")</f>
        <v>Electronic Equipment &amp; Parts</v>
      </c>
      <c r="E162" s="8">
        <v>0.14070099999999999</v>
      </c>
      <c r="F162" s="11">
        <v>74.94</v>
      </c>
      <c r="G162" s="11">
        <v>-1.85</v>
      </c>
      <c r="H162" s="13" t="s">
        <v>800</v>
      </c>
      <c r="I162" s="9" cm="1">
        <f t="array" ref="I162">_FV(Table_0[[#This Row],[Symbol]],"P/E",TRUE)</f>
        <v>25.8749</v>
      </c>
      <c r="J162" s="1" cm="1">
        <f t="array" ref="J162">_FV(Table_0[[#This Row],[Symbol]],"Market cap",TRUE)</f>
        <v>44578528995</v>
      </c>
    </row>
    <row r="163" spans="1:10" x14ac:dyDescent="0.25">
      <c r="A163">
        <v>160</v>
      </c>
      <c r="B163" t="s">
        <v>182</v>
      </c>
      <c r="C163" t="e" vm="160">
        <v>#VALUE!</v>
      </c>
      <c r="D163" t="str" cm="1">
        <f t="array" ref="D163">_FV(Table_0[[#This Row],[Symbol]],"Industry")</f>
        <v>Software &amp; IT Services</v>
      </c>
      <c r="E163" s="8">
        <v>0.14069999999999999</v>
      </c>
      <c r="F163" s="11">
        <v>423.5</v>
      </c>
      <c r="G163" s="11">
        <v>-7.34</v>
      </c>
      <c r="H163" s="13" t="s">
        <v>769</v>
      </c>
      <c r="I163" s="9" cm="1">
        <f t="array" ref="I163">_FV(Table_0[[#This Row],[Symbol]],"P/E",TRUE)</f>
        <v>49.044699999999999</v>
      </c>
      <c r="J163" s="1" cm="1">
        <f t="array" ref="J163">_FV(Table_0[[#This Row],[Symbol]],"Market cap",TRUE)</f>
        <v>45691470000</v>
      </c>
    </row>
    <row r="164" spans="1:10" x14ac:dyDescent="0.25">
      <c r="A164">
        <v>161</v>
      </c>
      <c r="B164" t="s">
        <v>180</v>
      </c>
      <c r="C164" t="e" vm="161">
        <v>#VALUE!</v>
      </c>
      <c r="D164" t="str" cm="1">
        <f t="array" ref="D164">_FV(Table_0[[#This Row],[Symbol]],"Industry")</f>
        <v>Software &amp; IT Services</v>
      </c>
      <c r="E164" s="8">
        <v>0.13911799999999999</v>
      </c>
      <c r="F164" s="11">
        <v>160.01</v>
      </c>
      <c r="G164" s="11">
        <v>-5.4</v>
      </c>
      <c r="H164" s="13" t="s">
        <v>801</v>
      </c>
      <c r="I164" s="9" cm="1">
        <f t="array" ref="I164">_FV(Table_0[[#This Row],[Symbol]],"P/E",TRUE)</f>
        <v>58.218200000000003</v>
      </c>
      <c r="J164" s="1" cm="1">
        <f t="array" ref="J164">_FV(Table_0[[#This Row],[Symbol]],"Market cap",TRUE)</f>
        <v>43893303160</v>
      </c>
    </row>
    <row r="165" spans="1:10" x14ac:dyDescent="0.25">
      <c r="A165">
        <v>162</v>
      </c>
      <c r="B165" t="s">
        <v>184</v>
      </c>
      <c r="C165" t="e" vm="162">
        <v>#VALUE!</v>
      </c>
      <c r="D165" t="str" cm="1">
        <f t="array" ref="D165">_FV(Table_0[[#This Row],[Symbol]],"Industry")</f>
        <v>Insurance</v>
      </c>
      <c r="E165" s="8">
        <v>0.13797499999999999</v>
      </c>
      <c r="F165" s="11">
        <v>186.43</v>
      </c>
      <c r="G165" s="11">
        <v>-2.99</v>
      </c>
      <c r="H165" s="13" t="s">
        <v>710</v>
      </c>
      <c r="I165" s="9" cm="1">
        <f t="array" ref="I165">_FV(Table_0[[#This Row],[Symbol]],"P/E",TRUE)</f>
        <v>13.839499999999999</v>
      </c>
      <c r="J165" s="1" cm="1">
        <f t="array" ref="J165">_FV(Table_0[[#This Row],[Symbol]],"Market cap",TRUE)</f>
        <v>43689404425</v>
      </c>
    </row>
    <row r="166" spans="1:10" x14ac:dyDescent="0.25">
      <c r="A166">
        <v>163</v>
      </c>
      <c r="B166" t="s">
        <v>185</v>
      </c>
      <c r="C166" t="e" vm="163">
        <v>#VALUE!</v>
      </c>
      <c r="D166" t="str" cm="1">
        <f t="array" ref="D166">_FV(Table_0[[#This Row],[Symbol]],"Industry")</f>
        <v>Healthcare Equipment &amp; Supplies</v>
      </c>
      <c r="E166" s="8">
        <v>0.13782</v>
      </c>
      <c r="F166" s="11">
        <v>112.21</v>
      </c>
      <c r="G166" s="11">
        <v>-2.56</v>
      </c>
      <c r="H166" s="13" t="s">
        <v>724</v>
      </c>
      <c r="I166" s="9" cm="1">
        <f t="array" ref="I166">_FV(Table_0[[#This Row],[Symbol]],"P/E",TRUE)</f>
        <v>214.3554</v>
      </c>
      <c r="J166" s="1" cm="1">
        <f t="array" ref="J166">_FV(Table_0[[#This Row],[Symbol]],"Market cap",TRUE)</f>
        <v>43340090110</v>
      </c>
    </row>
    <row r="167" spans="1:10" x14ac:dyDescent="0.25">
      <c r="A167">
        <v>164</v>
      </c>
      <c r="B167" t="s">
        <v>177</v>
      </c>
      <c r="C167" t="e" vm="164">
        <v>#VALUE!</v>
      </c>
      <c r="D167" t="str" cm="1">
        <f t="array" ref="D167">_FV(Table_0[[#This Row],[Symbol]],"Industry")</f>
        <v>Residential &amp; Commercial REIT</v>
      </c>
      <c r="E167" s="8">
        <v>0.13755800000000001</v>
      </c>
      <c r="F167" s="11">
        <v>278.86</v>
      </c>
      <c r="G167" s="11">
        <v>-4.8099999999999996</v>
      </c>
      <c r="H167" s="13" t="s">
        <v>769</v>
      </c>
      <c r="I167" s="9" cm="1">
        <f t="array" ref="I167">_FV(Table_0[[#This Row],[Symbol]],"P/E",TRUE)</f>
        <v>11.5299</v>
      </c>
      <c r="J167" s="1" cm="1">
        <f t="array" ref="J167">_FV(Table_0[[#This Row],[Symbol]],"Market cap",TRUE)</f>
        <v>48978524224</v>
      </c>
    </row>
    <row r="168" spans="1:10" x14ac:dyDescent="0.25">
      <c r="A168">
        <v>165</v>
      </c>
      <c r="B168" t="s">
        <v>178</v>
      </c>
      <c r="C168" t="e" vm="165">
        <v>#VALUE!</v>
      </c>
      <c r="D168" t="str" cm="1">
        <f t="array" ref="D168">_FV(Table_0[[#This Row],[Symbol]],"Industry")</f>
        <v>Healthcare Equipment &amp; Supplies</v>
      </c>
      <c r="E168" s="8">
        <v>0.137405</v>
      </c>
      <c r="F168" s="11">
        <v>147.49</v>
      </c>
      <c r="G168" s="11">
        <v>-2.6</v>
      </c>
      <c r="H168" s="13" t="s">
        <v>636</v>
      </c>
      <c r="I168" s="9" cm="1">
        <f t="array" ref="I168">_FV(Table_0[[#This Row],[Symbol]],"P/E",TRUE)</f>
        <v>35.910800000000002</v>
      </c>
      <c r="J168" s="1" cm="1">
        <f t="array" ref="J168">_FV(Table_0[[#This Row],[Symbol]],"Market cap",TRUE)</f>
        <v>43509550000</v>
      </c>
    </row>
    <row r="169" spans="1:10" x14ac:dyDescent="0.25">
      <c r="A169">
        <v>166</v>
      </c>
      <c r="B169" t="s">
        <v>176</v>
      </c>
      <c r="C169" t="e" vm="166">
        <v>#VALUE!</v>
      </c>
      <c r="D169" t="str" cm="1">
        <f t="array" ref="D169">_FV(Table_0[[#This Row],[Symbol]],"Industry")</f>
        <v>Professional &amp; Commercial Services</v>
      </c>
      <c r="E169" s="8">
        <v>0.13674500000000001</v>
      </c>
      <c r="F169" s="11">
        <v>276.39999999999998</v>
      </c>
      <c r="G169" s="11">
        <v>-6.02</v>
      </c>
      <c r="H169" s="13" t="s">
        <v>657</v>
      </c>
      <c r="I169" s="9" cm="1">
        <f t="array" ref="I169">_FV(Table_0[[#This Row],[Symbol]],"P/E",TRUE)</f>
        <v>33.749000000000002</v>
      </c>
      <c r="J169" s="1" cm="1">
        <f t="array" ref="J169">_FV(Table_0[[#This Row],[Symbol]],"Market cap",TRUE)</f>
        <v>50686860000</v>
      </c>
    </row>
    <row r="170" spans="1:10" x14ac:dyDescent="0.25">
      <c r="A170">
        <v>167</v>
      </c>
      <c r="B170" t="s">
        <v>179</v>
      </c>
      <c r="C170" t="e" vm="167">
        <v>#VALUE!</v>
      </c>
      <c r="D170" t="str" cm="1">
        <f t="array" ref="D170">_FV(Table_0[[#This Row],[Symbol]],"Industry")</f>
        <v>Machinery, Equipment &amp; Components</v>
      </c>
      <c r="E170" s="8">
        <v>0.13659099999999999</v>
      </c>
      <c r="F170" s="11">
        <v>63.22</v>
      </c>
      <c r="G170" s="11">
        <v>-1.4</v>
      </c>
      <c r="H170" s="13" t="s">
        <v>768</v>
      </c>
      <c r="I170" s="9" cm="1">
        <f t="array" ref="I170">_FV(Table_0[[#This Row],[Symbol]],"P/E",TRUE)</f>
        <v>29.357199999999999</v>
      </c>
      <c r="J170" s="1" cm="1">
        <f t="array" ref="J170">_FV(Table_0[[#This Row],[Symbol]],"Market cap",TRUE)</f>
        <v>43413420558</v>
      </c>
    </row>
    <row r="171" spans="1:10" x14ac:dyDescent="0.25">
      <c r="A171">
        <v>168</v>
      </c>
      <c r="B171" t="s">
        <v>196</v>
      </c>
      <c r="C171" t="e" vm="168">
        <v>#VALUE!</v>
      </c>
      <c r="D171" t="str" cm="1">
        <f t="array" ref="D171">_FV(Table_0[[#This Row],[Symbol]],"Industry")</f>
        <v>Renewable Energy</v>
      </c>
      <c r="E171" s="8">
        <v>0.1318</v>
      </c>
      <c r="F171" s="11">
        <v>296.3</v>
      </c>
      <c r="G171" s="11">
        <v>-20.8</v>
      </c>
      <c r="H171" s="13" t="s">
        <v>863</v>
      </c>
      <c r="I171" s="9" cm="1">
        <f t="array" ref="I171">_FV(Table_0[[#This Row],[Symbol]],"P/E",TRUE)</f>
        <v>154.66480000000001</v>
      </c>
      <c r="J171" s="1" cm="1">
        <f t="array" ref="J171">_FV(Table_0[[#This Row],[Symbol]],"Market cap",TRUE)</f>
        <v>40274162680</v>
      </c>
    </row>
    <row r="172" spans="1:10" x14ac:dyDescent="0.25">
      <c r="A172">
        <v>169</v>
      </c>
      <c r="B172" t="s">
        <v>183</v>
      </c>
      <c r="C172" t="e" vm="169">
        <v>#VALUE!</v>
      </c>
      <c r="D172" t="str" cm="1">
        <f t="array" ref="D172">_FV(Table_0[[#This Row],[Symbol]],"Industry")</f>
        <v>Communications &amp; Networking</v>
      </c>
      <c r="E172" s="8">
        <v>0.13173199999999999</v>
      </c>
      <c r="F172" s="11">
        <v>252.43</v>
      </c>
      <c r="G172" s="11">
        <v>-5.07</v>
      </c>
      <c r="H172" s="13" t="s">
        <v>789</v>
      </c>
      <c r="I172" s="9" cm="1">
        <f t="array" ref="I172">_FV(Table_0[[#This Row],[Symbol]],"P/E",TRUE)</f>
        <v>37.837899999999998</v>
      </c>
      <c r="J172" s="1" cm="1">
        <f t="array" ref="J172">_FV(Table_0[[#This Row],[Symbol]],"Market cap",TRUE)</f>
        <v>42207103776</v>
      </c>
    </row>
    <row r="173" spans="1:10" x14ac:dyDescent="0.25">
      <c r="A173">
        <v>170</v>
      </c>
      <c r="B173" t="s">
        <v>191</v>
      </c>
      <c r="C173" t="e" vm="170">
        <v>#VALUE!</v>
      </c>
      <c r="D173" t="str" cm="1">
        <f t="array" ref="D173">_FV(Table_0[[#This Row],[Symbol]],"Industry")</f>
        <v>Semiconductors &amp; Semiconductor Equipment</v>
      </c>
      <c r="E173" s="8">
        <v>0.13157099999999999</v>
      </c>
      <c r="F173" s="11">
        <v>154.4</v>
      </c>
      <c r="G173" s="11">
        <v>-9.0299999999999994</v>
      </c>
      <c r="H173" s="13" t="s">
        <v>840</v>
      </c>
      <c r="I173" s="9" cm="1">
        <f t="array" ref="I173">_FV(Table_0[[#This Row],[Symbol]],"P/E",TRUE)</f>
        <v>16.284400000000002</v>
      </c>
      <c r="J173" s="1" cm="1">
        <f t="array" ref="J173">_FV(Table_0[[#This Row],[Symbol]],"Market cap",TRUE)</f>
        <v>40010428560</v>
      </c>
    </row>
    <row r="174" spans="1:10" x14ac:dyDescent="0.25">
      <c r="A174">
        <v>171</v>
      </c>
      <c r="B174" t="s">
        <v>173</v>
      </c>
      <c r="C174" t="e" vm="171">
        <v>#VALUE!</v>
      </c>
      <c r="D174" t="str" cm="1">
        <f t="array" ref="D174">_FV(Table_0[[#This Row],[Symbol]],"Industry")</f>
        <v>Food &amp; Tobacco</v>
      </c>
      <c r="E174" s="8">
        <v>0.13083500000000001</v>
      </c>
      <c r="F174" s="11">
        <v>58.27</v>
      </c>
      <c r="G174" s="11">
        <v>-1.1200000000000001</v>
      </c>
      <c r="H174" s="13" t="s">
        <v>605</v>
      </c>
      <c r="I174" s="9" cm="1">
        <f t="array" ref="I174">_FV(Table_0[[#This Row],[Symbol]],"P/E",TRUE)</f>
        <v>30.994299999999999</v>
      </c>
      <c r="J174" s="1" cm="1">
        <f t="array" ref="J174">_FV(Table_0[[#This Row],[Symbol]],"Market cap",TRUE)</f>
        <v>41636306808</v>
      </c>
    </row>
    <row r="175" spans="1:10" x14ac:dyDescent="0.25">
      <c r="A175">
        <v>172</v>
      </c>
      <c r="B175" t="s">
        <v>207</v>
      </c>
      <c r="C175" t="e" vm="172">
        <v>#VALUE!</v>
      </c>
      <c r="D175" t="str" cm="1">
        <f t="array" ref="D175">_FV(Table_0[[#This Row],[Symbol]],"Industry")</f>
        <v>Electrical Utilities &amp; IPPs</v>
      </c>
      <c r="E175" s="8">
        <v>0.12973699999999999</v>
      </c>
      <c r="F175" s="11">
        <v>41.95</v>
      </c>
      <c r="G175" s="11">
        <v>-0.68</v>
      </c>
      <c r="H175" s="13" t="s">
        <v>728</v>
      </c>
      <c r="I175" s="9" cm="1">
        <f t="array" ref="I175">_FV(Table_0[[#This Row],[Symbol]],"P/E",TRUE)</f>
        <v>20.8551</v>
      </c>
      <c r="J175" s="1" cm="1">
        <f t="array" ref="J175">_FV(Table_0[[#This Row],[Symbol]],"Market cap",TRUE)</f>
        <v>41692445610</v>
      </c>
    </row>
    <row r="176" spans="1:10" x14ac:dyDescent="0.25">
      <c r="A176">
        <v>173</v>
      </c>
      <c r="B176" t="s">
        <v>193</v>
      </c>
      <c r="C176" t="e" vm="173">
        <v>#VALUE!</v>
      </c>
      <c r="D176" t="str" cm="1">
        <f t="array" ref="D176">_FV(Table_0[[#This Row],[Symbol]],"Industry")</f>
        <v>Software &amp; IT Services</v>
      </c>
      <c r="E176" s="8">
        <v>0.12800400000000001</v>
      </c>
      <c r="F176" s="11">
        <v>186.81</v>
      </c>
      <c r="G176" s="11">
        <v>-5.42</v>
      </c>
      <c r="H176" s="13" t="s">
        <v>837</v>
      </c>
      <c r="I176" s="9" cm="1">
        <f t="array" ref="I176">_FV(Table_0[[#This Row],[Symbol]],"P/E",TRUE)</f>
        <v>67.798599999999993</v>
      </c>
      <c r="J176" s="1" cm="1">
        <f t="array" ref="J176">_FV(Table_0[[#This Row],[Symbol]],"Market cap",TRUE)</f>
        <v>40307267754</v>
      </c>
    </row>
    <row r="177" spans="1:10" x14ac:dyDescent="0.25">
      <c r="A177">
        <v>174</v>
      </c>
      <c r="B177" t="s">
        <v>195</v>
      </c>
      <c r="C177" t="e" vm="174">
        <v>#VALUE!</v>
      </c>
      <c r="D177" t="str" cm="1">
        <f t="array" ref="D177">_FV(Table_0[[#This Row],[Symbol]],"Industry")</f>
        <v>Pharmaceuticals</v>
      </c>
      <c r="E177" s="8">
        <v>0.127585</v>
      </c>
      <c r="F177" s="11">
        <v>279.16000000000003</v>
      </c>
      <c r="G177" s="11">
        <v>-7.7</v>
      </c>
      <c r="H177" s="13" t="s">
        <v>697</v>
      </c>
      <c r="I177" s="9" cm="1">
        <f t="array" ref="I177">_FV(Table_0[[#This Row],[Symbol]],"P/E",TRUE)</f>
        <v>14.6152</v>
      </c>
      <c r="J177" s="1" cm="1">
        <f t="array" ref="J177">_FV(Table_0[[#This Row],[Symbol]],"Market cap",TRUE)</f>
        <v>40199430824</v>
      </c>
    </row>
    <row r="178" spans="1:10" x14ac:dyDescent="0.25">
      <c r="A178">
        <v>175</v>
      </c>
      <c r="B178" t="s">
        <v>201</v>
      </c>
      <c r="C178" t="e" vm="175">
        <v>#VALUE!</v>
      </c>
      <c r="D178" t="str" cm="1">
        <f t="array" ref="D178">_FV(Table_0[[#This Row],[Symbol]],"Industry")</f>
        <v>Insurance</v>
      </c>
      <c r="E178" s="8">
        <v>0.12610399999999999</v>
      </c>
      <c r="F178" s="11">
        <v>70.7</v>
      </c>
      <c r="G178" s="11">
        <v>-0.76</v>
      </c>
      <c r="H178" s="13" t="s">
        <v>626</v>
      </c>
      <c r="I178" s="9" cm="1">
        <f t="array" ref="I178">_FV(Table_0[[#This Row],[Symbol]],"P/E",TRUE)</f>
        <v>9.1232000000000006</v>
      </c>
      <c r="J178" s="1" cm="1">
        <f t="array" ref="J178">_FV(Table_0[[#This Row],[Symbol]],"Market cap",TRUE)</f>
        <v>43954236134</v>
      </c>
    </row>
    <row r="179" spans="1:10" x14ac:dyDescent="0.25">
      <c r="A179">
        <v>176</v>
      </c>
      <c r="B179" t="s">
        <v>198</v>
      </c>
      <c r="C179" t="e" vm="176">
        <v>#VALUE!</v>
      </c>
      <c r="D179" t="str" cm="1">
        <f t="array" ref="D179">_FV(Table_0[[#This Row],[Symbol]],"Industry")</f>
        <v>Freight &amp; Logistics Services</v>
      </c>
      <c r="E179" s="8">
        <v>0.12531999999999999</v>
      </c>
      <c r="F179" s="11">
        <v>172.84</v>
      </c>
      <c r="G179" s="11">
        <v>2.85</v>
      </c>
      <c r="H179" s="13" t="s">
        <v>841</v>
      </c>
      <c r="I179" s="9" cm="1">
        <f t="array" ref="I179">_FV(Table_0[[#This Row],[Symbol]],"P/E",TRUE)</f>
        <v>13.342000000000001</v>
      </c>
      <c r="J179" s="1" cm="1">
        <f t="array" ref="J179">_FV(Table_0[[#This Row],[Symbol]],"Market cap",TRUE)</f>
        <v>43625576749</v>
      </c>
    </row>
    <row r="180" spans="1:10" x14ac:dyDescent="0.25">
      <c r="A180">
        <v>177</v>
      </c>
      <c r="B180" t="s">
        <v>188</v>
      </c>
      <c r="C180" t="e" vm="177">
        <v>#VALUE!</v>
      </c>
      <c r="D180" t="str" cm="1">
        <f t="array" ref="D180">_FV(Table_0[[#This Row],[Symbol]],"Industry")</f>
        <v>Oil &amp; Gas</v>
      </c>
      <c r="E180" s="8">
        <v>0.124103</v>
      </c>
      <c r="F180" s="11">
        <v>59.45</v>
      </c>
      <c r="G180" s="11">
        <v>-2.31</v>
      </c>
      <c r="H180" s="13" t="s">
        <v>781</v>
      </c>
      <c r="I180" s="9" cm="1">
        <f t="array" ref="I180">_FV(Table_0[[#This Row],[Symbol]],"P/E",TRUE)</f>
        <v>6.4772999999999996</v>
      </c>
      <c r="J180" s="1" cm="1">
        <f t="array" ref="J180">_FV(Table_0[[#This Row],[Symbol]],"Market cap",TRUE)</f>
        <v>38855928000</v>
      </c>
    </row>
    <row r="181" spans="1:10" x14ac:dyDescent="0.25">
      <c r="A181">
        <v>178</v>
      </c>
      <c r="B181" t="s">
        <v>218</v>
      </c>
      <c r="C181" t="e" vm="178">
        <v>#VALUE!</v>
      </c>
      <c r="D181" t="str" cm="1">
        <f t="array" ref="D181">_FV(Table_0[[#This Row],[Symbol]],"Industry")</f>
        <v>Residential &amp; Commercial REIT</v>
      </c>
      <c r="E181" s="8">
        <v>0.12406399999999999</v>
      </c>
      <c r="F181" s="11">
        <v>62.98</v>
      </c>
      <c r="G181" s="11">
        <v>-1.26</v>
      </c>
      <c r="H181" s="13" t="s">
        <v>649</v>
      </c>
      <c r="I181" s="9" cm="1">
        <f t="array" ref="I181">_FV(Table_0[[#This Row],[Symbol]],"P/E",TRUE)</f>
        <v>60.068300000000001</v>
      </c>
      <c r="J181" s="1" cm="1">
        <f t="array" ref="J181">_FV(Table_0[[#This Row],[Symbol]],"Market cap",TRUE)</f>
        <v>39502793560</v>
      </c>
    </row>
    <row r="182" spans="1:10" x14ac:dyDescent="0.25">
      <c r="A182">
        <v>179</v>
      </c>
      <c r="B182" t="s">
        <v>203</v>
      </c>
      <c r="C182" t="e" vm="179">
        <v>#VALUE!</v>
      </c>
      <c r="D182" t="str" cm="1">
        <f t="array" ref="D182">_FV(Table_0[[#This Row],[Symbol]],"Industry")</f>
        <v>Specialty Retailers</v>
      </c>
      <c r="E182" s="8">
        <v>0.123497</v>
      </c>
      <c r="F182" s="11">
        <v>112.92</v>
      </c>
      <c r="G182" s="11">
        <v>-2.21</v>
      </c>
      <c r="H182" s="13" t="s">
        <v>663</v>
      </c>
      <c r="I182" s="9" cm="1">
        <f t="array" ref="I182">_FV(Table_0[[#This Row],[Symbol]],"P/E",TRUE)</f>
        <v>27.944700000000001</v>
      </c>
      <c r="J182" s="1" cm="1">
        <f t="array" ref="J182">_FV(Table_0[[#This Row],[Symbol]],"Market cap",TRUE)</f>
        <v>38893260740</v>
      </c>
    </row>
    <row r="183" spans="1:10" x14ac:dyDescent="0.25">
      <c r="A183">
        <v>180</v>
      </c>
      <c r="B183" t="s">
        <v>200</v>
      </c>
      <c r="C183" t="e" vm="180">
        <v>#VALUE!</v>
      </c>
      <c r="D183" t="str" cm="1">
        <f t="array" ref="D183">_FV(Table_0[[#This Row],[Symbol]],"Industry")</f>
        <v>Semiconductors &amp; Semiconductor Equipment</v>
      </c>
      <c r="E183" s="8">
        <v>0.123295</v>
      </c>
      <c r="F183" s="11">
        <v>68.62</v>
      </c>
      <c r="G183" s="11">
        <v>-4.34</v>
      </c>
      <c r="H183" s="13" t="s">
        <v>833</v>
      </c>
      <c r="I183" s="9" cm="1">
        <f t="array" ref="I183">_FV(Table_0[[#This Row],[Symbol]],"P/E",TRUE)</f>
        <v>22.256499999999999</v>
      </c>
      <c r="J183" s="1" cm="1">
        <f t="array" ref="J183">_FV(Table_0[[#This Row],[Symbol]],"Market cap",TRUE)</f>
        <v>37725096733</v>
      </c>
    </row>
    <row r="184" spans="1:10" x14ac:dyDescent="0.25">
      <c r="A184">
        <v>181</v>
      </c>
      <c r="B184" t="s">
        <v>202</v>
      </c>
      <c r="C184" t="e" vm="181">
        <v>#VALUE!</v>
      </c>
      <c r="D184" t="str" cm="1">
        <f t="array" ref="D184">_FV(Table_0[[#This Row],[Symbol]],"Industry")</f>
        <v>Oil &amp; Gas Related Equipment and Services</v>
      </c>
      <c r="E184" s="8">
        <v>0.12328799999999999</v>
      </c>
      <c r="F184" s="11">
        <v>32.36</v>
      </c>
      <c r="G184" s="11">
        <v>-0.61</v>
      </c>
      <c r="H184" s="13" t="s">
        <v>653</v>
      </c>
      <c r="I184" s="9" cm="1">
        <f t="array" ref="I184">_FV(Table_0[[#This Row],[Symbol]],"P/E",TRUE)</f>
        <v>20.1478</v>
      </c>
      <c r="J184" s="1" cm="1">
        <f t="array" ref="J184">_FV(Table_0[[#This Row],[Symbol]],"Market cap",TRUE)</f>
        <v>39408390000</v>
      </c>
    </row>
    <row r="185" spans="1:10" x14ac:dyDescent="0.25">
      <c r="A185">
        <v>182</v>
      </c>
      <c r="B185" t="s">
        <v>189</v>
      </c>
      <c r="C185" t="e" vm="182">
        <v>#VALUE!</v>
      </c>
      <c r="D185" t="str" cm="1">
        <f t="array" ref="D185">_FV(Table_0[[#This Row],[Symbol]],"Industry")</f>
        <v>Hotels &amp; Entertainment Services</v>
      </c>
      <c r="E185" s="8">
        <v>0.12324499999999999</v>
      </c>
      <c r="F185" s="11">
        <v>145.88999999999999</v>
      </c>
      <c r="G185" s="11">
        <v>-2.87</v>
      </c>
      <c r="H185" s="13" t="s">
        <v>771</v>
      </c>
      <c r="I185" s="9" cm="1">
        <f t="array" ref="I185">_FV(Table_0[[#This Row],[Symbol]],"P/E",TRUE)</f>
        <v>22.6996</v>
      </c>
      <c r="J185" s="1" cm="1">
        <f t="array" ref="J185">_FV(Table_0[[#This Row],[Symbol]],"Market cap",TRUE)</f>
        <v>46178379546</v>
      </c>
    </row>
    <row r="186" spans="1:10" x14ac:dyDescent="0.25">
      <c r="A186">
        <v>183</v>
      </c>
      <c r="B186" t="s">
        <v>212</v>
      </c>
      <c r="C186" t="e" vm="183">
        <v>#VALUE!</v>
      </c>
      <c r="D186" t="str" cm="1">
        <f t="array" ref="D186">_FV(Table_0[[#This Row],[Symbol]],"Industry")</f>
        <v>Professional &amp; Commercial Services</v>
      </c>
      <c r="E186" s="8">
        <v>0.122574</v>
      </c>
      <c r="F186" s="11">
        <v>448.7</v>
      </c>
      <c r="G186" s="11">
        <v>-15.69</v>
      </c>
      <c r="H186" s="13" t="s">
        <v>799</v>
      </c>
      <c r="I186" s="9" cm="1">
        <f t="array" ref="I186">_FV(Table_0[[#This Row],[Symbol]],"P/E",TRUE)</f>
        <v>37.742899999999999</v>
      </c>
      <c r="J186" s="1" cm="1">
        <f t="array" ref="J186">_FV(Table_0[[#This Row],[Symbol]],"Market cap",TRUE)</f>
        <v>45563376110</v>
      </c>
    </row>
    <row r="187" spans="1:10" x14ac:dyDescent="0.25">
      <c r="A187">
        <v>184</v>
      </c>
      <c r="B187" t="s">
        <v>197</v>
      </c>
      <c r="C187" t="e" vm="184">
        <v>#VALUE!</v>
      </c>
      <c r="D187" t="str" cm="1">
        <f t="array" ref="D187">_FV(Table_0[[#This Row],[Symbol]],"Industry")</f>
        <v>Insurance</v>
      </c>
      <c r="E187" s="8">
        <v>0.122323</v>
      </c>
      <c r="F187" s="11">
        <v>187.26</v>
      </c>
      <c r="G187" s="11">
        <v>-2.2200000000000002</v>
      </c>
      <c r="H187" s="13" t="s">
        <v>690</v>
      </c>
      <c r="I187" s="9" cm="1">
        <f t="array" ref="I187">_FV(Table_0[[#This Row],[Symbol]],"P/E",TRUE)</f>
        <v>37.261899999999997</v>
      </c>
      <c r="J187" s="1" cm="1">
        <f t="array" ref="J187">_FV(Table_0[[#This Row],[Symbol]],"Market cap",TRUE)</f>
        <v>39481982736</v>
      </c>
    </row>
    <row r="188" spans="1:10" x14ac:dyDescent="0.25">
      <c r="A188">
        <v>185</v>
      </c>
      <c r="B188" t="s">
        <v>208</v>
      </c>
      <c r="C188" t="e" vm="185">
        <v>#VALUE!</v>
      </c>
      <c r="D188" t="str" cm="1">
        <f t="array" ref="D188">_FV(Table_0[[#This Row],[Symbol]],"Industry")</f>
        <v>Financial Technology (Fintech) &amp; Infrastructure</v>
      </c>
      <c r="E188" s="8">
        <v>0.122098</v>
      </c>
      <c r="F188" s="11">
        <v>65.14</v>
      </c>
      <c r="G188" s="11">
        <v>-1.68</v>
      </c>
      <c r="H188" s="13" t="s">
        <v>787</v>
      </c>
      <c r="I188" s="9" cm="1">
        <f t="array" ref="I188">_FV(Table_0[[#This Row],[Symbol]],"P/E",TRUE)</f>
        <v>43.6111</v>
      </c>
      <c r="J188" s="1" cm="1">
        <f t="array" ref="J188">_FV(Table_0[[#This Row],[Symbol]],"Market cap",TRUE)</f>
        <v>38646806835</v>
      </c>
    </row>
    <row r="189" spans="1:10" x14ac:dyDescent="0.25">
      <c r="A189">
        <v>186</v>
      </c>
      <c r="B189" t="s">
        <v>204</v>
      </c>
      <c r="C189" t="e" vm="186">
        <v>#VALUE!</v>
      </c>
      <c r="D189" t="str" cm="1">
        <f t="array" ref="D189">_FV(Table_0[[#This Row],[Symbol]],"Industry")</f>
        <v>Machinery, Equipment &amp; Components</v>
      </c>
      <c r="E189" s="8">
        <v>0.121765</v>
      </c>
      <c r="F189" s="11">
        <v>166.82</v>
      </c>
      <c r="G189" s="11">
        <v>-4.1399999999999997</v>
      </c>
      <c r="H189" s="13" t="s">
        <v>714</v>
      </c>
      <c r="I189" s="9" cm="1">
        <f t="array" ref="I189">_FV(Table_0[[#This Row],[Symbol]],"P/E",TRUE)</f>
        <v>24.343800000000002</v>
      </c>
      <c r="J189" s="1" cm="1">
        <f t="array" ref="J189">_FV(Table_0[[#This Row],[Symbol]],"Market cap",TRUE)</f>
        <v>38419863786</v>
      </c>
    </row>
    <row r="190" spans="1:10" x14ac:dyDescent="0.25">
      <c r="A190">
        <v>187</v>
      </c>
      <c r="B190" t="s">
        <v>190</v>
      </c>
      <c r="C190" t="e" vm="187">
        <v>#VALUE!</v>
      </c>
      <c r="D190" t="str" cm="1">
        <f t="array" ref="D190">_FV(Table_0[[#This Row],[Symbol]],"Industry")</f>
        <v>Aerospace &amp; Defense</v>
      </c>
      <c r="E190" s="8">
        <v>0.121422</v>
      </c>
      <c r="F190" s="11">
        <v>203.59</v>
      </c>
      <c r="G190" s="11">
        <v>-3.39</v>
      </c>
      <c r="H190" s="13" t="s">
        <v>695</v>
      </c>
      <c r="I190" s="9" cm="1">
        <f t="array" ref="I190">_FV(Table_0[[#This Row],[Symbol]],"P/E",TRUE)</f>
        <v>36.005099999999999</v>
      </c>
      <c r="J190" s="1" cm="1">
        <f t="array" ref="J190">_FV(Table_0[[#This Row],[Symbol]],"Market cap",TRUE)</f>
        <v>38762202024</v>
      </c>
    </row>
    <row r="191" spans="1:10" x14ac:dyDescent="0.25">
      <c r="A191">
        <v>188</v>
      </c>
      <c r="B191" t="s">
        <v>194</v>
      </c>
      <c r="C191" t="e" vm="188">
        <v>#VALUE!</v>
      </c>
      <c r="D191" t="str" cm="1">
        <f t="array" ref="D191">_FV(Table_0[[#This Row],[Symbol]],"Industry")</f>
        <v>Hotels &amp; Entertainment Services</v>
      </c>
      <c r="E191" s="8">
        <v>0.121285</v>
      </c>
      <c r="F191" s="11">
        <v>1391.06</v>
      </c>
      <c r="G191" s="11">
        <v>-34.130000000000003</v>
      </c>
      <c r="H191" s="13" t="s">
        <v>745</v>
      </c>
      <c r="I191" s="9" cm="1">
        <f t="array" ref="I191">_FV(Table_0[[#This Row],[Symbol]],"P/E",TRUE)</f>
        <v>49.605699999999999</v>
      </c>
      <c r="J191" s="1" cm="1">
        <f t="array" ref="J191">_FV(Table_0[[#This Row],[Symbol]],"Market cap",TRUE)</f>
        <v>38560064010</v>
      </c>
    </row>
    <row r="192" spans="1:10" x14ac:dyDescent="0.25">
      <c r="A192">
        <v>189</v>
      </c>
      <c r="B192" t="s">
        <v>186</v>
      </c>
      <c r="C192" t="e" vm="189">
        <v>#VALUE!</v>
      </c>
      <c r="D192" t="str" cm="1">
        <f t="array" ref="D192">_FV(Table_0[[#This Row],[Symbol]],"Industry")</f>
        <v>Food &amp; Drug Retailing</v>
      </c>
      <c r="E192" s="8">
        <v>0.12060800000000001</v>
      </c>
      <c r="F192" s="11">
        <v>76.19</v>
      </c>
      <c r="G192" s="11">
        <v>-0.95</v>
      </c>
      <c r="H192" s="13" t="s">
        <v>689</v>
      </c>
      <c r="I192" s="9" cm="1">
        <f t="array" ref="I192">_FV(Table_0[[#This Row],[Symbol]],"P/E",TRUE)</f>
        <v>27.325099999999999</v>
      </c>
      <c r="J192" s="1" cm="1">
        <f t="array" ref="J192">_FV(Table_0[[#This Row],[Symbol]],"Market cap",TRUE)</f>
        <v>38610615825</v>
      </c>
    </row>
    <row r="193" spans="1:10" x14ac:dyDescent="0.25">
      <c r="A193">
        <v>190</v>
      </c>
      <c r="B193" t="s">
        <v>211</v>
      </c>
      <c r="C193" t="e" vm="190">
        <v>#VALUE!</v>
      </c>
      <c r="D193" t="str" cm="1">
        <f t="array" ref="D193">_FV(Table_0[[#This Row],[Symbol]],"Industry")</f>
        <v>Beverages</v>
      </c>
      <c r="E193" s="8">
        <v>0.120335</v>
      </c>
      <c r="F193" s="11">
        <v>99.96</v>
      </c>
      <c r="G193" s="11">
        <v>-1.99</v>
      </c>
      <c r="H193" s="13" t="s">
        <v>701</v>
      </c>
      <c r="I193" s="9" cm="1">
        <f t="array" ref="I193">_FV(Table_0[[#This Row],[Symbol]],"P/E",TRUE)</f>
        <v>45.019799999999996</v>
      </c>
      <c r="J193" s="1" cm="1">
        <f t="array" ref="J193">_FV(Table_0[[#This Row],[Symbol]],"Market cap",TRUE)</f>
        <v>52153490256</v>
      </c>
    </row>
    <row r="194" spans="1:10" x14ac:dyDescent="0.25">
      <c r="A194">
        <v>191</v>
      </c>
      <c r="B194" t="s">
        <v>214</v>
      </c>
      <c r="C194" t="e" vm="191">
        <v>#VALUE!</v>
      </c>
      <c r="D194" t="str" cm="1">
        <f t="array" ref="D194">_FV(Table_0[[#This Row],[Symbol]],"Industry")</f>
        <v>Oil &amp; Gas</v>
      </c>
      <c r="E194" s="8">
        <v>0.118932</v>
      </c>
      <c r="F194" s="11">
        <v>135.07</v>
      </c>
      <c r="G194" s="11">
        <v>-5.22</v>
      </c>
      <c r="H194" s="13" t="s">
        <v>843</v>
      </c>
      <c r="I194" s="9" cm="1">
        <f t="array" ref="I194">_FV(Table_0[[#This Row],[Symbol]],"P/E",TRUE)</f>
        <v>23.3384</v>
      </c>
      <c r="J194" s="1" cm="1">
        <f t="array" ref="J194">_FV(Table_0[[#This Row],[Symbol]],"Market cap",TRUE)</f>
        <v>41613939787</v>
      </c>
    </row>
    <row r="195" spans="1:10" x14ac:dyDescent="0.25">
      <c r="A195">
        <v>192</v>
      </c>
      <c r="B195" t="s">
        <v>221</v>
      </c>
      <c r="C195" t="e" vm="192">
        <v>#VALUE!</v>
      </c>
      <c r="D195" t="str" cm="1">
        <f t="array" ref="D195">_FV(Table_0[[#This Row],[Symbol]],"Industry")</f>
        <v>Electrical Utilities &amp; IPPs</v>
      </c>
      <c r="E195" s="8">
        <v>0.118656</v>
      </c>
      <c r="F195" s="11">
        <v>69.27</v>
      </c>
      <c r="G195" s="11">
        <v>-1.1399999999999999</v>
      </c>
      <c r="H195" s="13" t="s">
        <v>617</v>
      </c>
      <c r="I195" s="9" cm="1">
        <f t="array" ref="I195">_FV(Table_0[[#This Row],[Symbol]],"P/E",TRUE)</f>
        <v>22.991800000000001</v>
      </c>
      <c r="J195" s="1" cm="1">
        <f t="array" ref="J195">_FV(Table_0[[#This Row],[Symbol]],"Market cap",TRUE)</f>
        <v>37913376080</v>
      </c>
    </row>
    <row r="196" spans="1:10" x14ac:dyDescent="0.25">
      <c r="A196">
        <v>193</v>
      </c>
      <c r="B196" t="s">
        <v>205</v>
      </c>
      <c r="C196" t="e" vm="193">
        <v>#VALUE!</v>
      </c>
      <c r="D196" t="str" cm="1">
        <f t="array" ref="D196">_FV(Table_0[[#This Row],[Symbol]],"Industry")</f>
        <v>Professional &amp; Commercial Services</v>
      </c>
      <c r="E196" s="8">
        <v>0.11711000000000001</v>
      </c>
      <c r="F196" s="11">
        <v>459.13</v>
      </c>
      <c r="G196" s="11">
        <v>-13.23</v>
      </c>
      <c r="H196" s="13" t="s">
        <v>674</v>
      </c>
      <c r="I196" s="9" cm="1">
        <f t="array" ref="I196">_FV(Table_0[[#This Row],[Symbol]],"P/E",TRUE)</f>
        <v>45.576599999999999</v>
      </c>
      <c r="J196" s="1" cm="1">
        <f t="array" ref="J196">_FV(Table_0[[#This Row],[Symbol]],"Market cap",TRUE)</f>
        <v>36711194592</v>
      </c>
    </row>
    <row r="197" spans="1:10" x14ac:dyDescent="0.25">
      <c r="A197">
        <v>194</v>
      </c>
      <c r="B197" t="s">
        <v>206</v>
      </c>
      <c r="C197" t="e" vm="194">
        <v>#VALUE!</v>
      </c>
      <c r="D197" t="str" cm="1">
        <f t="array" ref="D197">_FV(Table_0[[#This Row],[Symbol]],"Industry")</f>
        <v>Biotechnology &amp; Medical Research</v>
      </c>
      <c r="E197" s="8">
        <v>0.11705500000000001</v>
      </c>
      <c r="F197" s="11">
        <v>201.37</v>
      </c>
      <c r="G197" s="11">
        <v>-3.18</v>
      </c>
      <c r="H197" s="13" t="s">
        <v>648</v>
      </c>
      <c r="I197" s="9" cm="1">
        <f t="array" ref="I197">_FV(Table_0[[#This Row],[Symbol]],"P/E",TRUE)</f>
        <v>33.287100000000002</v>
      </c>
      <c r="J197" s="1" cm="1">
        <f t="array" ref="J197">_FV(Table_0[[#This Row],[Symbol]],"Market cap",TRUE)</f>
        <v>37386490160</v>
      </c>
    </row>
    <row r="198" spans="1:10" x14ac:dyDescent="0.25">
      <c r="A198">
        <v>195</v>
      </c>
      <c r="B198" t="s">
        <v>199</v>
      </c>
      <c r="C198" t="e" vm="195">
        <v>#VALUE!</v>
      </c>
      <c r="D198" t="str" cm="1">
        <f t="array" ref="D198">_FV(Table_0[[#This Row],[Symbol]],"Industry")</f>
        <v>Beverages</v>
      </c>
      <c r="E198" s="8">
        <v>0.11667</v>
      </c>
      <c r="F198" s="11">
        <v>229.55</v>
      </c>
      <c r="G198" s="11">
        <v>-3.85</v>
      </c>
      <c r="H198" s="13" t="s">
        <v>633</v>
      </c>
      <c r="I198" s="9" cm="1">
        <f t="array" ref="I198">_FV(Table_0[[#This Row],[Symbol]],"P/E",TRUE)</f>
        <v>720.31730000000005</v>
      </c>
      <c r="J198" s="1" cm="1">
        <f t="array" ref="J198">_FV(Table_0[[#This Row],[Symbol]],"Market cap",TRUE)</f>
        <v>42343179106</v>
      </c>
    </row>
    <row r="199" spans="1:10" x14ac:dyDescent="0.25">
      <c r="A199">
        <v>196</v>
      </c>
      <c r="B199" t="s">
        <v>220</v>
      </c>
      <c r="C199" t="e" vm="196">
        <v>#VALUE!</v>
      </c>
      <c r="D199" t="str" cm="1">
        <f t="array" ref="D199">_FV(Table_0[[#This Row],[Symbol]],"Industry")</f>
        <v>Residential &amp; Commercial REIT</v>
      </c>
      <c r="E199" s="8">
        <v>0.116457</v>
      </c>
      <c r="F199" s="11">
        <v>114.5</v>
      </c>
      <c r="G199" s="11">
        <v>-2.0499999999999998</v>
      </c>
      <c r="H199" s="13" t="s">
        <v>740</v>
      </c>
      <c r="I199" s="9" cm="1">
        <f t="array" ref="I199">_FV(Table_0[[#This Row],[Symbol]],"P/E",TRUE)</f>
        <v>19.454899999999999</v>
      </c>
      <c r="J199" s="1" cm="1">
        <f t="array" ref="J199">_FV(Table_0[[#This Row],[Symbol]],"Market cap",TRUE)</f>
        <v>39270442568</v>
      </c>
    </row>
    <row r="200" spans="1:10" x14ac:dyDescent="0.25">
      <c r="A200">
        <v>197</v>
      </c>
      <c r="B200" t="s">
        <v>231</v>
      </c>
      <c r="C200" t="e" vm="197">
        <v>#VALUE!</v>
      </c>
      <c r="D200" t="str" cm="1">
        <f t="array" ref="D200">_FV(Table_0[[#This Row],[Symbol]],"Industry")</f>
        <v>Metals &amp; Mining</v>
      </c>
      <c r="E200" s="8">
        <v>0.11497499999999999</v>
      </c>
      <c r="F200" s="11">
        <v>46.87</v>
      </c>
      <c r="G200" s="11">
        <v>-0.45</v>
      </c>
      <c r="H200" s="13" t="s">
        <v>609</v>
      </c>
      <c r="I200" s="9" cm="1">
        <f t="array" ref="I200">_FV(Table_0[[#This Row],[Symbol]],"P/E",TRUE)</f>
        <v>38.838099999999997</v>
      </c>
      <c r="J200" s="1" cm="1">
        <f t="array" ref="J200">_FV(Table_0[[#This Row],[Symbol]],"Market cap",TRUE)</f>
        <v>37190626788</v>
      </c>
    </row>
    <row r="201" spans="1:10" x14ac:dyDescent="0.25">
      <c r="A201">
        <v>198</v>
      </c>
      <c r="B201" t="s">
        <v>219</v>
      </c>
      <c r="C201" t="e" vm="198">
        <v>#VALUE!</v>
      </c>
      <c r="D201" t="str" cm="1">
        <f t="array" ref="D201">_FV(Table_0[[#This Row],[Symbol]],"Industry")</f>
        <v>Machinery, Equipment &amp; Components</v>
      </c>
      <c r="E201" s="8">
        <v>0.114666</v>
      </c>
      <c r="F201" s="11">
        <v>286.01</v>
      </c>
      <c r="G201" s="11">
        <v>-6.23</v>
      </c>
      <c r="H201" s="13" t="s">
        <v>657</v>
      </c>
      <c r="I201" s="9" cm="1">
        <f t="array" ref="I201">_FV(Table_0[[#This Row],[Symbol]],"P/E",TRUE)</f>
        <v>30.399699999999999</v>
      </c>
      <c r="J201" s="1" cm="1">
        <f t="array" ref="J201">_FV(Table_0[[#This Row],[Symbol]],"Market cap",TRUE)</f>
        <v>36725314257</v>
      </c>
    </row>
    <row r="202" spans="1:10" x14ac:dyDescent="0.25">
      <c r="A202">
        <v>199</v>
      </c>
      <c r="B202" t="s">
        <v>210</v>
      </c>
      <c r="C202" t="e" vm="199">
        <v>#VALUE!</v>
      </c>
      <c r="D202" t="str" cm="1">
        <f t="array" ref="D202">_FV(Table_0[[#This Row],[Symbol]],"Industry")</f>
        <v>Insurance</v>
      </c>
      <c r="E202" s="8">
        <v>0.114443</v>
      </c>
      <c r="F202" s="11">
        <v>97.57</v>
      </c>
      <c r="G202" s="11">
        <v>-2.79</v>
      </c>
      <c r="H202" s="13" t="s">
        <v>775</v>
      </c>
      <c r="I202" s="9" cm="1">
        <f t="array" ref="I202">_FV(Table_0[[#This Row],[Symbol]],"P/E",TRUE)</f>
        <v>138.91999999999999</v>
      </c>
      <c r="J202" s="1" cm="1">
        <f t="array" ref="J202">_FV(Table_0[[#This Row],[Symbol]],"Market cap",TRUE)</f>
        <v>35905760000</v>
      </c>
    </row>
    <row r="203" spans="1:10" x14ac:dyDescent="0.25">
      <c r="A203">
        <v>200</v>
      </c>
      <c r="B203" t="s">
        <v>215</v>
      </c>
      <c r="C203" t="e" vm="200">
        <v>#VALUE!</v>
      </c>
      <c r="D203" t="str" cm="1">
        <f t="array" ref="D203">_FV(Table_0[[#This Row],[Symbol]],"Industry")</f>
        <v>Professional &amp; Commercial Services</v>
      </c>
      <c r="E203" s="8">
        <v>0.11336300000000001</v>
      </c>
      <c r="F203" s="11">
        <v>110.24</v>
      </c>
      <c r="G203" s="11">
        <v>-4.53</v>
      </c>
      <c r="H203" s="13" t="s">
        <v>842</v>
      </c>
      <c r="I203" s="9" cm="1">
        <f t="array" ref="I203">_FV(Table_0[[#This Row],[Symbol]],"P/E",TRUE)</f>
        <v>28.964200000000002</v>
      </c>
      <c r="J203" s="1" cm="1">
        <f t="array" ref="J203">_FV(Table_0[[#This Row],[Symbol]],"Market cap",TRUE)</f>
        <v>39730496000</v>
      </c>
    </row>
    <row r="204" spans="1:10" x14ac:dyDescent="0.25">
      <c r="A204">
        <v>201</v>
      </c>
      <c r="B204" t="s">
        <v>209</v>
      </c>
      <c r="C204" t="e" vm="201">
        <v>#VALUE!</v>
      </c>
      <c r="D204" t="str" cm="1">
        <f t="array" ref="D204">_FV(Table_0[[#This Row],[Symbol]],"Industry")</f>
        <v>Machinery, Equipment &amp; Components</v>
      </c>
      <c r="E204" s="8">
        <v>0.11335199999999999</v>
      </c>
      <c r="F204" s="11">
        <v>112.52</v>
      </c>
      <c r="G204" s="11">
        <v>-2.98</v>
      </c>
      <c r="H204" s="13" t="s">
        <v>737</v>
      </c>
      <c r="I204" s="9" cm="1">
        <f t="array" ref="I204">_FV(Table_0[[#This Row],[Symbol]],"P/E",TRUE)</f>
        <v>15.4611</v>
      </c>
      <c r="J204" s="1" cm="1">
        <f t="array" ref="J204">_FV(Table_0[[#This Row],[Symbol]],"Market cap",TRUE)</f>
        <v>35694787112</v>
      </c>
    </row>
    <row r="205" spans="1:10" x14ac:dyDescent="0.25">
      <c r="A205">
        <v>202</v>
      </c>
      <c r="B205" t="s">
        <v>226</v>
      </c>
      <c r="C205" t="e" vm="202">
        <v>#VALUE!</v>
      </c>
      <c r="D205" t="str" cm="1">
        <f t="array" ref="D205">_FV(Table_0[[#This Row],[Symbol]],"Industry")</f>
        <v>Hotels &amp; Entertainment Services</v>
      </c>
      <c r="E205" s="8">
        <v>0.112405</v>
      </c>
      <c r="F205" s="11">
        <v>127.32</v>
      </c>
      <c r="G205" s="11">
        <v>-1.46</v>
      </c>
      <c r="H205" s="13" t="s">
        <v>716</v>
      </c>
      <c r="I205" s="9" cm="1">
        <f t="array" ref="I205">_FV(Table_0[[#This Row],[Symbol]],"P/E",TRUE)</f>
        <v>29.336600000000001</v>
      </c>
      <c r="J205" s="1" cm="1">
        <f t="array" ref="J205">_FV(Table_0[[#This Row],[Symbol]],"Market cap",TRUE)</f>
        <v>35864503428</v>
      </c>
    </row>
    <row r="206" spans="1:10" x14ac:dyDescent="0.25">
      <c r="A206">
        <v>203</v>
      </c>
      <c r="B206" t="s">
        <v>227</v>
      </c>
      <c r="C206" t="e" vm="203">
        <v>#VALUE!</v>
      </c>
      <c r="D206" t="str" cm="1">
        <f t="array" ref="D206">_FV(Table_0[[#This Row],[Symbol]],"Industry")</f>
        <v>Insurance</v>
      </c>
      <c r="E206" s="8">
        <v>0.11167100000000001</v>
      </c>
      <c r="F206" s="11">
        <v>134.11000000000001</v>
      </c>
      <c r="G206" s="11">
        <v>-0.53</v>
      </c>
      <c r="H206" s="13" t="s">
        <v>23</v>
      </c>
      <c r="I206" s="9" cm="1">
        <f t="array" ref="I206">_FV(Table_0[[#This Row],[Symbol]],"P/E",TRUE)</f>
        <v>44.216799999999999</v>
      </c>
      <c r="J206" s="1" cm="1">
        <f t="array" ref="J206">_FV(Table_0[[#This Row],[Symbol]],"Market cap",TRUE)</f>
        <v>35567842917</v>
      </c>
    </row>
    <row r="207" spans="1:10" x14ac:dyDescent="0.25">
      <c r="A207">
        <v>204</v>
      </c>
      <c r="B207" t="s">
        <v>225</v>
      </c>
      <c r="C207" t="e" vm="204">
        <v>#VALUE!</v>
      </c>
      <c r="D207" t="str" cm="1">
        <f t="array" ref="D207">_FV(Table_0[[#This Row],[Symbol]],"Industry")</f>
        <v>Chemicals</v>
      </c>
      <c r="E207" s="8">
        <v>0.111661</v>
      </c>
      <c r="F207" s="11">
        <v>49.32</v>
      </c>
      <c r="G207" s="11">
        <v>-1.35</v>
      </c>
      <c r="H207" s="13" t="s">
        <v>677</v>
      </c>
      <c r="I207" s="9" cm="1">
        <f t="array" ref="I207">_FV(Table_0[[#This Row],[Symbol]],"P/E",TRUE)</f>
        <v>6.5674000000000001</v>
      </c>
      <c r="J207" s="1" cm="1">
        <f t="array" ref="J207">_FV(Table_0[[#This Row],[Symbol]],"Market cap",TRUE)</f>
        <v>34696811384</v>
      </c>
    </row>
    <row r="208" spans="1:10" x14ac:dyDescent="0.25">
      <c r="A208">
        <v>205</v>
      </c>
      <c r="B208" t="s">
        <v>213</v>
      </c>
      <c r="C208" t="e" vm="205">
        <v>#VALUE!</v>
      </c>
      <c r="D208" t="str" cm="1">
        <f t="array" ref="D208">_FV(Table_0[[#This Row],[Symbol]],"Industry")</f>
        <v>Metals &amp; Mining</v>
      </c>
      <c r="E208" s="8">
        <v>0.11043500000000001</v>
      </c>
      <c r="F208" s="11">
        <v>133.65</v>
      </c>
      <c r="G208" s="11">
        <v>-3.8</v>
      </c>
      <c r="H208" s="13" t="s">
        <v>655</v>
      </c>
      <c r="I208" s="9" cm="1">
        <f t="array" ref="I208">_FV(Table_0[[#This Row],[Symbol]],"P/E",TRUE)</f>
        <v>4.3023999999999996</v>
      </c>
      <c r="J208" s="1" cm="1">
        <f t="array" ref="J208">_FV(Table_0[[#This Row],[Symbol]],"Market cap",TRUE)</f>
        <v>34292196378</v>
      </c>
    </row>
    <row r="209" spans="1:10" x14ac:dyDescent="0.25">
      <c r="A209">
        <v>206</v>
      </c>
      <c r="B209" t="s">
        <v>228</v>
      </c>
      <c r="C209" t="e" vm="206">
        <v>#VALUE!</v>
      </c>
      <c r="D209" t="str" cm="1">
        <f t="array" ref="D209">_FV(Table_0[[#This Row],[Symbol]],"Industry")</f>
        <v>Chemicals</v>
      </c>
      <c r="E209" s="8">
        <v>0.10918799999999999</v>
      </c>
      <c r="F209" s="11">
        <v>141.31</v>
      </c>
      <c r="G209" s="11">
        <v>-2.99</v>
      </c>
      <c r="H209" s="13" t="s">
        <v>723</v>
      </c>
      <c r="I209" s="9" cm="1">
        <f t="array" ref="I209">_FV(Table_0[[#This Row],[Symbol]],"P/E",TRUE)</f>
        <v>36.765900000000002</v>
      </c>
      <c r="J209" s="1" cm="1">
        <f t="array" ref="J209">_FV(Table_0[[#This Row],[Symbol]],"Market cap",TRUE)</f>
        <v>40249058811</v>
      </c>
    </row>
    <row r="210" spans="1:10" x14ac:dyDescent="0.25">
      <c r="A210">
        <v>207</v>
      </c>
      <c r="B210" t="s">
        <v>223</v>
      </c>
      <c r="C210" t="e" vm="207">
        <v>#VALUE!</v>
      </c>
      <c r="D210" t="str" cm="1">
        <f t="array" ref="D210">_FV(Table_0[[#This Row],[Symbol]],"Industry")</f>
        <v>Oil &amp; Gas Related Equipment and Services</v>
      </c>
      <c r="E210" s="8">
        <v>0.108783</v>
      </c>
      <c r="F210" s="11">
        <v>17.559999999999999</v>
      </c>
      <c r="G210" s="11">
        <v>-0.32</v>
      </c>
      <c r="H210" s="13" t="s">
        <v>687</v>
      </c>
      <c r="I210" s="9" cm="1">
        <f t="array" ref="I210">_FV(Table_0[[#This Row],[Symbol]],"P/E",TRUE)</f>
        <v>16.184100000000001</v>
      </c>
      <c r="J210" s="1" cm="1">
        <f t="array" ref="J210">_FV(Table_0[[#This Row],[Symbol]],"Market cap",TRUE)</f>
        <v>39459110810</v>
      </c>
    </row>
    <row r="211" spans="1:10" x14ac:dyDescent="0.25">
      <c r="A211">
        <v>208</v>
      </c>
      <c r="B211" t="s">
        <v>224</v>
      </c>
      <c r="C211" t="e" vm="208">
        <v>#VALUE!</v>
      </c>
      <c r="D211" t="str" cm="1">
        <f t="array" ref="D211">_FV(Table_0[[#This Row],[Symbol]],"Industry")</f>
        <v>Machinery, Equipment &amp; Components</v>
      </c>
      <c r="E211" s="8">
        <v>0.10871400000000001</v>
      </c>
      <c r="F211" s="11">
        <v>41.13</v>
      </c>
      <c r="G211" s="11">
        <v>-0.96</v>
      </c>
      <c r="H211" s="13" t="s">
        <v>706</v>
      </c>
      <c r="I211" s="9" cm="1">
        <f t="array" ref="I211">_FV(Table_0[[#This Row],[Symbol]],"P/E",TRUE)</f>
        <v>10.1709</v>
      </c>
      <c r="J211" s="1" cm="1">
        <f t="array" ref="J211">_FV(Table_0[[#This Row],[Symbol]],"Market cap",TRUE)</f>
        <v>34382891572</v>
      </c>
    </row>
    <row r="212" spans="1:10" x14ac:dyDescent="0.25">
      <c r="A212">
        <v>209</v>
      </c>
      <c r="B212" t="s">
        <v>229</v>
      </c>
      <c r="C212" t="e" vm="209">
        <v>#VALUE!</v>
      </c>
      <c r="D212" t="str" cm="1">
        <f t="array" ref="D212">_FV(Table_0[[#This Row],[Symbol]],"Industry")</f>
        <v>Machinery, Equipment &amp; Components</v>
      </c>
      <c r="E212" s="8">
        <v>0.108206</v>
      </c>
      <c r="F212" s="11">
        <v>98.84</v>
      </c>
      <c r="G212" s="11">
        <v>-2.2000000000000002</v>
      </c>
      <c r="H212" s="13" t="s">
        <v>702</v>
      </c>
      <c r="I212" s="9" cm="1">
        <f t="array" ref="I212">_FV(Table_0[[#This Row],[Symbol]],"P/E",TRUE)</f>
        <v>13.5441</v>
      </c>
      <c r="J212" s="1" cm="1">
        <f t="array" ref="J212">_FV(Table_0[[#This Row],[Symbol]],"Market cap",TRUE)</f>
        <v>34376827260</v>
      </c>
    </row>
    <row r="213" spans="1:10" x14ac:dyDescent="0.25">
      <c r="A213">
        <v>210</v>
      </c>
      <c r="B213" t="s">
        <v>245</v>
      </c>
      <c r="C213" t="e" vm="210">
        <v>#VALUE!</v>
      </c>
      <c r="D213" t="str" cm="1">
        <f t="array" ref="D213">_FV(Table_0[[#This Row],[Symbol]],"Industry")</f>
        <v>Oil &amp; Gas Related Equipment and Services</v>
      </c>
      <c r="E213" s="8">
        <v>0.108019</v>
      </c>
      <c r="F213" s="11">
        <v>37.549999999999997</v>
      </c>
      <c r="G213" s="11">
        <v>-1.0900000000000001</v>
      </c>
      <c r="H213" s="13" t="s">
        <v>804</v>
      </c>
      <c r="I213" s="9" cm="1">
        <f t="array" ref="I213">_FV(Table_0[[#This Row],[Symbol]],"P/E",TRUE)</f>
        <v>20.019400000000001</v>
      </c>
      <c r="J213" s="1" cm="1">
        <f t="array" ref="J213">_FV(Table_0[[#This Row],[Symbol]],"Market cap",TRUE)</f>
        <v>34074456170</v>
      </c>
    </row>
    <row r="214" spans="1:10" x14ac:dyDescent="0.25">
      <c r="A214">
        <v>211</v>
      </c>
      <c r="B214" t="s">
        <v>222</v>
      </c>
      <c r="C214" t="e" vm="211">
        <v>#VALUE!</v>
      </c>
      <c r="D214" t="str" cm="1">
        <f t="array" ref="D214">_FV(Table_0[[#This Row],[Symbol]],"Industry")</f>
        <v>Hotels &amp; Entertainment Services</v>
      </c>
      <c r="E214" s="8">
        <v>0.106988</v>
      </c>
      <c r="F214" s="11">
        <v>125.02</v>
      </c>
      <c r="G214" s="11">
        <v>-2.23</v>
      </c>
      <c r="H214" s="13" t="s">
        <v>722</v>
      </c>
      <c r="I214" s="9" cm="1">
        <f t="array" ref="I214">_FV(Table_0[[#This Row],[Symbol]],"P/E",TRUE)</f>
        <v>33.059199999999997</v>
      </c>
      <c r="J214" s="1" cm="1">
        <f t="array" ref="J214">_FV(Table_0[[#This Row],[Symbol]],"Market cap",TRUE)</f>
        <v>33809704560</v>
      </c>
    </row>
    <row r="215" spans="1:10" x14ac:dyDescent="0.25">
      <c r="A215">
        <v>212</v>
      </c>
      <c r="B215" t="s">
        <v>239</v>
      </c>
      <c r="C215" t="e" vm="212">
        <v>#VALUE!</v>
      </c>
      <c r="D215" t="str" cm="1">
        <f t="array" ref="D215">_FV(Table_0[[#This Row],[Symbol]],"Industry")</f>
        <v>Healthcare Equipment &amp; Supplies</v>
      </c>
      <c r="E215" s="8">
        <v>0.10681300000000001</v>
      </c>
      <c r="F215" s="11">
        <v>405.47</v>
      </c>
      <c r="G215" s="11">
        <v>-12.6</v>
      </c>
      <c r="H215" s="13" t="s">
        <v>761</v>
      </c>
      <c r="I215" s="9" cm="1">
        <f t="array" ref="I215">_FV(Table_0[[#This Row],[Symbol]],"P/E",TRUE)</f>
        <v>53.170200000000001</v>
      </c>
      <c r="J215" s="1" cm="1">
        <f t="array" ref="J215">_FV(Table_0[[#This Row],[Symbol]],"Market cap",TRUE)</f>
        <v>33579378686</v>
      </c>
    </row>
    <row r="216" spans="1:10" x14ac:dyDescent="0.25">
      <c r="A216">
        <v>213</v>
      </c>
      <c r="B216" t="s">
        <v>192</v>
      </c>
      <c r="C216" t="e" vm="213">
        <v>#VALUE!</v>
      </c>
      <c r="D216" t="str" cm="1">
        <f t="array" ref="D216">_FV(Table_0[[#This Row],[Symbol]],"Industry")</f>
        <v>Telecommunications Services</v>
      </c>
      <c r="E216" s="8">
        <v>0.10629</v>
      </c>
      <c r="F216" s="11">
        <v>316.79000000000002</v>
      </c>
      <c r="G216" s="11">
        <v>-4.55</v>
      </c>
      <c r="H216" s="13" t="s">
        <v>685</v>
      </c>
      <c r="I216" s="9" cm="1">
        <f t="array" ref="I216">_FV(Table_0[[#This Row],[Symbol]],"P/E",TRUE)</f>
        <v>10.0375</v>
      </c>
      <c r="J216" s="1" cm="1">
        <f t="array" ref="J216">_FV(Table_0[[#This Row],[Symbol]],"Market cap",TRUE)</f>
        <v>49315427917</v>
      </c>
    </row>
    <row r="217" spans="1:10" x14ac:dyDescent="0.25">
      <c r="A217">
        <v>214</v>
      </c>
      <c r="B217" t="s">
        <v>234</v>
      </c>
      <c r="C217" t="e" vm="214">
        <v>#VALUE!</v>
      </c>
      <c r="D217" t="str" cm="1">
        <f t="array" ref="D217">_FV(Table_0[[#This Row],[Symbol]],"Industry")</f>
        <v>Food &amp; Tobacco</v>
      </c>
      <c r="E217" s="8">
        <v>0.105905</v>
      </c>
      <c r="F217" s="11">
        <v>234.08</v>
      </c>
      <c r="G217" s="11">
        <v>-0.9</v>
      </c>
      <c r="H217" s="13" t="s">
        <v>615</v>
      </c>
      <c r="I217" s="9" cm="1">
        <f t="array" ref="I217">_FV(Table_0[[#This Row],[Symbol]],"P/E",TRUE)</f>
        <v>30.686499999999999</v>
      </c>
      <c r="J217" s="1" cm="1">
        <f t="array" ref="J217">_FV(Table_0[[#This Row],[Symbol]],"Market cap",TRUE)</f>
        <v>47997531704</v>
      </c>
    </row>
    <row r="218" spans="1:10" x14ac:dyDescent="0.25">
      <c r="A218">
        <v>215</v>
      </c>
      <c r="B218" t="s">
        <v>217</v>
      </c>
      <c r="C218" t="e" vm="215">
        <v>#VALUE!</v>
      </c>
      <c r="D218" t="str" cm="1">
        <f t="array" ref="D218">_FV(Table_0[[#This Row],[Symbol]],"Industry")</f>
        <v>Banking Services</v>
      </c>
      <c r="E218" s="8">
        <v>0.105679</v>
      </c>
      <c r="F218" s="11">
        <v>88.26</v>
      </c>
      <c r="G218" s="11">
        <v>-1.46</v>
      </c>
      <c r="H218" s="13" t="s">
        <v>650</v>
      </c>
      <c r="I218" s="9" cm="1">
        <f t="array" ref="I218">_FV(Table_0[[#This Row],[Symbol]],"P/E",TRUE)</f>
        <v>4.4410999999999996</v>
      </c>
      <c r="J218" s="1" cm="1">
        <f t="array" ref="J218">_FV(Table_0[[#This Row],[Symbol]],"Market cap",TRUE)</f>
        <v>33684901450</v>
      </c>
    </row>
    <row r="219" spans="1:10" x14ac:dyDescent="0.25">
      <c r="A219">
        <v>216</v>
      </c>
      <c r="B219" t="s">
        <v>232</v>
      </c>
      <c r="C219" t="e" vm="216">
        <v>#VALUE!</v>
      </c>
      <c r="D219" t="str" cm="1">
        <f t="array" ref="D219">_FV(Table_0[[#This Row],[Symbol]],"Industry")</f>
        <v>Chemicals</v>
      </c>
      <c r="E219" s="8">
        <v>0.10502</v>
      </c>
      <c r="F219" s="11">
        <v>66.38</v>
      </c>
      <c r="G219" s="11">
        <v>-1.94</v>
      </c>
      <c r="H219" s="13" t="s">
        <v>719</v>
      </c>
      <c r="I219" s="9" cm="1">
        <f t="array" ref="I219">_FV(Table_0[[#This Row],[Symbol]],"P/E",TRUE)</f>
        <v>29.851400000000002</v>
      </c>
      <c r="J219" s="1" cm="1">
        <f t="array" ref="J219">_FV(Table_0[[#This Row],[Symbol]],"Market cap",TRUE)</f>
        <v>32976847181</v>
      </c>
    </row>
    <row r="220" spans="1:10" x14ac:dyDescent="0.25">
      <c r="A220">
        <v>217</v>
      </c>
      <c r="B220" t="s">
        <v>233</v>
      </c>
      <c r="C220" t="e" vm="217">
        <v>#VALUE!</v>
      </c>
      <c r="D220" t="str" cm="1">
        <f t="array" ref="D220">_FV(Table_0[[#This Row],[Symbol]],"Industry")</f>
        <v>Automobiles &amp; Auto Parts</v>
      </c>
      <c r="E220" s="8">
        <v>0.104712</v>
      </c>
      <c r="F220" s="11">
        <v>237.4</v>
      </c>
      <c r="G220" s="11">
        <v>-4.82</v>
      </c>
      <c r="H220" s="13" t="s">
        <v>659</v>
      </c>
      <c r="I220" s="9" cm="1">
        <f t="array" ref="I220">_FV(Table_0[[#This Row],[Symbol]],"P/E",TRUE)</f>
        <v>18.0548</v>
      </c>
      <c r="J220" s="1" cm="1">
        <f t="array" ref="J220">_FV(Table_0[[#This Row],[Symbol]],"Market cap",TRUE)</f>
        <v>33501600000</v>
      </c>
    </row>
    <row r="221" spans="1:10" x14ac:dyDescent="0.25">
      <c r="A221">
        <v>218</v>
      </c>
      <c r="B221" t="s">
        <v>236</v>
      </c>
      <c r="C221" t="e" vm="218">
        <v>#VALUE!</v>
      </c>
      <c r="D221" t="str" cm="1">
        <f t="array" ref="D221">_FV(Table_0[[#This Row],[Symbol]],"Industry")</f>
        <v>Electrical Utilities &amp; IPPs</v>
      </c>
      <c r="E221" s="8">
        <v>0.104598</v>
      </c>
      <c r="F221" s="11">
        <v>94.21</v>
      </c>
      <c r="G221" s="11">
        <v>-1.51</v>
      </c>
      <c r="H221" s="13" t="s">
        <v>710</v>
      </c>
      <c r="I221" s="9" cm="1">
        <f t="array" ref="I221">_FV(Table_0[[#This Row],[Symbol]],"P/E",TRUE)</f>
        <v>20.084800000000001</v>
      </c>
      <c r="J221" s="1" cm="1">
        <f t="array" ref="J221">_FV(Table_0[[#This Row],[Symbol]],"Market cap",TRUE)</f>
        <v>33442279696</v>
      </c>
    </row>
    <row r="222" spans="1:10" x14ac:dyDescent="0.25">
      <c r="A222">
        <v>219</v>
      </c>
      <c r="B222" t="s">
        <v>230</v>
      </c>
      <c r="C222" t="e" vm="219">
        <v>#VALUE!</v>
      </c>
      <c r="D222" t="str" cm="1">
        <f t="array" ref="D222">_FV(Table_0[[#This Row],[Symbol]],"Industry")</f>
        <v>Investment Banking &amp; Investment Services</v>
      </c>
      <c r="E222" s="8">
        <v>0.103894</v>
      </c>
      <c r="F222" s="11">
        <v>305.83</v>
      </c>
      <c r="G222" s="11">
        <v>-7.2</v>
      </c>
      <c r="H222" s="13" t="s">
        <v>670</v>
      </c>
      <c r="I222" s="9" cm="1">
        <f t="array" ref="I222">_FV(Table_0[[#This Row],[Symbol]],"P/E",TRUE)</f>
        <v>13.0451</v>
      </c>
      <c r="J222" s="1" cm="1">
        <f t="array" ref="J222">_FV(Table_0[[#This Row],[Symbol]],"Market cap",TRUE)</f>
        <v>32545572276</v>
      </c>
    </row>
    <row r="223" spans="1:10" x14ac:dyDescent="0.25">
      <c r="A223">
        <v>220</v>
      </c>
      <c r="B223" t="s">
        <v>246</v>
      </c>
      <c r="C223" t="e" vm="220">
        <v>#VALUE!</v>
      </c>
      <c r="D223" t="str" cm="1">
        <f t="array" ref="D223">_FV(Table_0[[#This Row],[Symbol]],"Industry")</f>
        <v>Machinery, Equipment &amp; Components</v>
      </c>
      <c r="E223" s="8">
        <v>0.101788</v>
      </c>
      <c r="F223" s="11">
        <v>77.48</v>
      </c>
      <c r="G223" s="11">
        <v>-1.55</v>
      </c>
      <c r="H223" s="13" t="s">
        <v>649</v>
      </c>
      <c r="I223" s="9" cm="1">
        <f t="array" ref="I223">_FV(Table_0[[#This Row],[Symbol]],"P/E",TRUE)</f>
        <v>27.184200000000001</v>
      </c>
      <c r="J223" s="1" cm="1">
        <f t="array" ref="J223">_FV(Table_0[[#This Row],[Symbol]],"Market cap",TRUE)</f>
        <v>32268759305</v>
      </c>
    </row>
    <row r="224" spans="1:10" x14ac:dyDescent="0.25">
      <c r="A224">
        <v>221</v>
      </c>
      <c r="B224" t="s">
        <v>241</v>
      </c>
      <c r="C224" t="e" vm="221">
        <v>#VALUE!</v>
      </c>
      <c r="D224" t="str" cm="1">
        <f t="array" ref="D224">_FV(Table_0[[#This Row],[Symbol]],"Industry")</f>
        <v>Investment Banking &amp; Investment Services</v>
      </c>
      <c r="E224" s="8">
        <v>0.10106999999999999</v>
      </c>
      <c r="F224" s="11">
        <v>43.7</v>
      </c>
      <c r="G224" s="11">
        <v>-1.08</v>
      </c>
      <c r="H224" s="13" t="s">
        <v>666</v>
      </c>
      <c r="I224" s="9" cm="1">
        <f t="array" ref="I224">_FV(Table_0[[#This Row],[Symbol]],"P/E",TRUE)</f>
        <v>13.6378</v>
      </c>
      <c r="J224" s="1" cm="1">
        <f t="array" ref="J224">_FV(Table_0[[#This Row],[Symbol]],"Market cap",TRUE)</f>
        <v>35321836000</v>
      </c>
    </row>
    <row r="225" spans="1:10" x14ac:dyDescent="0.25">
      <c r="A225">
        <v>222</v>
      </c>
      <c r="B225" t="s">
        <v>235</v>
      </c>
      <c r="C225" t="e" vm="222">
        <v>#VALUE!</v>
      </c>
      <c r="D225" t="str" cm="1">
        <f t="array" ref="D225">_FV(Table_0[[#This Row],[Symbol]],"Industry")</f>
        <v>Software &amp; IT Services</v>
      </c>
      <c r="E225" s="8">
        <v>0.100442</v>
      </c>
      <c r="F225" s="11">
        <v>48.78</v>
      </c>
      <c r="G225" s="11">
        <v>-1.23</v>
      </c>
      <c r="H225" s="13" t="s">
        <v>743</v>
      </c>
      <c r="I225" s="9" cm="1">
        <f t="array" ref="I225">_FV(Table_0[[#This Row],[Symbol]],"P/E",TRUE)</f>
        <v>54.899700000000003</v>
      </c>
      <c r="J225" s="1" cm="1">
        <f t="array" ref="J225">_FV(Table_0[[#This Row],[Symbol]],"Market cap",TRUE)</f>
        <v>38112598260</v>
      </c>
    </row>
    <row r="226" spans="1:10" x14ac:dyDescent="0.25">
      <c r="A226">
        <v>223</v>
      </c>
      <c r="B226" t="s">
        <v>244</v>
      </c>
      <c r="C226" t="e" vm="223">
        <v>#VALUE!</v>
      </c>
      <c r="D226" t="str" cm="1">
        <f t="array" ref="D226">_FV(Table_0[[#This Row],[Symbol]],"Industry")</f>
        <v>Office Equipment</v>
      </c>
      <c r="E226" s="8">
        <v>9.9625000000000005E-2</v>
      </c>
      <c r="F226" s="11">
        <v>1421</v>
      </c>
      <c r="G226" s="11">
        <v>-23.02</v>
      </c>
      <c r="H226" s="13" t="s">
        <v>623</v>
      </c>
      <c r="I226" s="9" cm="1">
        <f t="array" ref="I226">_FV(Table_0[[#This Row],[Symbol]],"P/E",TRUE)</f>
        <v>39.515000000000001</v>
      </c>
      <c r="J226" s="1" cm="1">
        <f t="array" ref="J226">_FV(Table_0[[#This Row],[Symbol]],"Market cap",TRUE)</f>
        <v>31680043990</v>
      </c>
    </row>
    <row r="227" spans="1:10" x14ac:dyDescent="0.25">
      <c r="A227">
        <v>224</v>
      </c>
      <c r="B227" t="s">
        <v>251</v>
      </c>
      <c r="C227" t="e" vm="224">
        <v>#VALUE!</v>
      </c>
      <c r="D227" t="str" cm="1">
        <f t="array" ref="D227">_FV(Table_0[[#This Row],[Symbol]],"Industry")</f>
        <v>Aerospace &amp; Defense</v>
      </c>
      <c r="E227" s="8">
        <v>9.9316000000000002E-2</v>
      </c>
      <c r="F227" s="11">
        <v>608.79999999999995</v>
      </c>
      <c r="G227" s="11">
        <v>-18.84</v>
      </c>
      <c r="H227" s="13" t="s">
        <v>805</v>
      </c>
      <c r="I227" s="9" cm="1">
        <f t="array" ref="I227">_FV(Table_0[[#This Row],[Symbol]],"P/E",TRUE)</f>
        <v>46.8917</v>
      </c>
      <c r="J227" s="1" cm="1">
        <f t="array" ref="J227">_FV(Table_0[[#This Row],[Symbol]],"Market cap",TRUE)</f>
        <v>33126365685</v>
      </c>
    </row>
    <row r="228" spans="1:10" x14ac:dyDescent="0.25">
      <c r="A228">
        <v>225</v>
      </c>
      <c r="B228" t="s">
        <v>237</v>
      </c>
      <c r="C228" t="e" vm="225">
        <v>#VALUE!</v>
      </c>
      <c r="D228" t="str" cm="1">
        <f t="array" ref="D228">_FV(Table_0[[#This Row],[Symbol]],"Industry")</f>
        <v>Software &amp; IT Services</v>
      </c>
      <c r="E228" s="8">
        <v>9.9283999999999997E-2</v>
      </c>
      <c r="F228" s="11">
        <v>120.53</v>
      </c>
      <c r="G228" s="11">
        <v>-1.97</v>
      </c>
      <c r="H228" s="13" t="s">
        <v>729</v>
      </c>
      <c r="I228" s="9" cm="1">
        <f t="array" ref="I228">_FV(Table_0[[#This Row],[Symbol]],"P/E",TRUE)</f>
        <v>38.254100000000001</v>
      </c>
      <c r="J228" s="1" cm="1">
        <f t="array" ref="J228">_FV(Table_0[[#This Row],[Symbol]],"Market cap",TRUE)</f>
        <v>33275946506</v>
      </c>
    </row>
    <row r="229" spans="1:10" x14ac:dyDescent="0.25">
      <c r="A229">
        <v>226</v>
      </c>
      <c r="B229" t="s">
        <v>248</v>
      </c>
      <c r="C229" t="e" vm="226">
        <v>#VALUE!</v>
      </c>
      <c r="D229" t="str" cm="1">
        <f t="array" ref="D229">_FV(Table_0[[#This Row],[Symbol]],"Industry")</f>
        <v>Machinery, Equipment &amp; Components</v>
      </c>
      <c r="E229" s="8">
        <v>9.8654000000000006E-2</v>
      </c>
      <c r="F229" s="11">
        <v>136.79</v>
      </c>
      <c r="G229" s="11">
        <v>-3.57</v>
      </c>
      <c r="H229" s="13" t="s">
        <v>779</v>
      </c>
      <c r="I229" s="9" cm="1">
        <f t="array" ref="I229">_FV(Table_0[[#This Row],[Symbol]],"P/E",TRUE)</f>
        <v>28.712399999999999</v>
      </c>
      <c r="J229" s="1" cm="1">
        <f t="array" ref="J229">_FV(Table_0[[#This Row],[Symbol]],"Market cap",TRUE)</f>
        <v>31414425376</v>
      </c>
    </row>
    <row r="230" spans="1:10" x14ac:dyDescent="0.25">
      <c r="A230">
        <v>227</v>
      </c>
      <c r="B230" t="s">
        <v>256</v>
      </c>
      <c r="C230" t="e" vm="227">
        <v>#VALUE!</v>
      </c>
      <c r="D230" t="str" cm="1">
        <f t="array" ref="D230">_FV(Table_0[[#This Row],[Symbol]],"Industry")</f>
        <v>Food &amp; Tobacco</v>
      </c>
      <c r="E230" s="8">
        <v>9.8215999999999998E-2</v>
      </c>
      <c r="F230" s="11">
        <v>40.04</v>
      </c>
      <c r="G230" s="11">
        <v>-0.14000000000000001</v>
      </c>
      <c r="H230" s="13" t="s">
        <v>597</v>
      </c>
      <c r="I230" s="9" cm="1">
        <f t="array" ref="I230">_FV(Table_0[[#This Row],[Symbol]],"P/E",TRUE)</f>
        <v>50.779800000000002</v>
      </c>
      <c r="J230" s="1" cm="1">
        <f t="array" ref="J230">_FV(Table_0[[#This Row],[Symbol]],"Market cap",TRUE)</f>
        <v>49046197200</v>
      </c>
    </row>
    <row r="231" spans="1:10" x14ac:dyDescent="0.25">
      <c r="A231">
        <v>228</v>
      </c>
      <c r="B231" t="s">
        <v>254</v>
      </c>
      <c r="C231" t="e" vm="228">
        <v>#VALUE!</v>
      </c>
      <c r="D231" t="str" cm="1">
        <f t="array" ref="D231">_FV(Table_0[[#This Row],[Symbol]],"Industry")</f>
        <v>Software &amp; IT Services</v>
      </c>
      <c r="E231" s="8">
        <v>9.7610000000000002E-2</v>
      </c>
      <c r="F231" s="11">
        <v>75.989999999999995</v>
      </c>
      <c r="G231" s="11">
        <v>-1.95</v>
      </c>
      <c r="H231" s="13" t="s">
        <v>676</v>
      </c>
      <c r="I231" s="9" cm="1">
        <f t="array" ref="I231">_FV(Table_0[[#This Row],[Symbol]],"P/E",TRUE)</f>
        <v>91.042900000000003</v>
      </c>
      <c r="J231" s="1" cm="1">
        <f t="array" ref="J231">_FV(Table_0[[#This Row],[Symbol]],"Market cap",TRUE)</f>
        <v>30904380698</v>
      </c>
    </row>
    <row r="232" spans="1:10" x14ac:dyDescent="0.25">
      <c r="A232">
        <v>229</v>
      </c>
      <c r="B232" t="s">
        <v>249</v>
      </c>
      <c r="C232" t="e" vm="229">
        <v>#VALUE!</v>
      </c>
      <c r="D232" t="str" cm="1">
        <f t="array" ref="D232">_FV(Table_0[[#This Row],[Symbol]],"Industry")</f>
        <v>Residential &amp; Commercial REIT</v>
      </c>
      <c r="E232" s="8">
        <v>9.6576999999999996E-2</v>
      </c>
      <c r="F232" s="11">
        <v>31.87</v>
      </c>
      <c r="G232" s="11">
        <v>-0.92</v>
      </c>
      <c r="H232" s="13" t="s">
        <v>731</v>
      </c>
      <c r="I232" s="9" cm="1">
        <f t="array" ref="I232">_FV(Table_0[[#This Row],[Symbol]],"P/E",TRUE)</f>
        <v>30.629200000000001</v>
      </c>
      <c r="J232" s="1" cm="1">
        <f t="array" ref="J232">_FV(Table_0[[#This Row],[Symbol]],"Market cap",TRUE)</f>
        <v>31781277899</v>
      </c>
    </row>
    <row r="233" spans="1:10" x14ac:dyDescent="0.25">
      <c r="A233">
        <v>230</v>
      </c>
      <c r="B233" t="s">
        <v>252</v>
      </c>
      <c r="C233" t="e" vm="230">
        <v>#VALUE!</v>
      </c>
      <c r="D233" t="str" cm="1">
        <f t="array" ref="D233">_FV(Table_0[[#This Row],[Symbol]],"Industry")</f>
        <v>Machinery, Equipment &amp; Components</v>
      </c>
      <c r="E233" s="8">
        <v>9.6113000000000004E-2</v>
      </c>
      <c r="F233" s="11">
        <v>167.25</v>
      </c>
      <c r="G233" s="11">
        <v>-6.82</v>
      </c>
      <c r="H233" s="13" t="s">
        <v>864</v>
      </c>
      <c r="I233" s="9" cm="1">
        <f t="array" ref="I233">_FV(Table_0[[#This Row],[Symbol]],"P/E",TRUE)</f>
        <v>28.236699999999999</v>
      </c>
      <c r="J233" s="1" cm="1">
        <f t="array" ref="J233">_FV(Table_0[[#This Row],[Symbol]],"Market cap",TRUE)</f>
        <v>29918744992</v>
      </c>
    </row>
    <row r="234" spans="1:10" x14ac:dyDescent="0.25">
      <c r="A234">
        <v>231</v>
      </c>
      <c r="B234" t="s">
        <v>238</v>
      </c>
      <c r="C234" t="e" vm="231">
        <v>#VALUE!</v>
      </c>
      <c r="D234" t="str" cm="1">
        <f t="array" ref="D234">_FV(Table_0[[#This Row],[Symbol]],"Industry")</f>
        <v>Healthcare Equipment &amp; Supplies</v>
      </c>
      <c r="E234" s="8">
        <v>9.5651E-2</v>
      </c>
      <c r="F234" s="11">
        <v>191.88</v>
      </c>
      <c r="G234" s="11">
        <v>-5.58</v>
      </c>
      <c r="H234" s="13" t="s">
        <v>834</v>
      </c>
      <c r="I234" s="9" cm="1">
        <f t="array" ref="I234">_FV(Table_0[[#This Row],[Symbol]],"P/E",TRUE)</f>
        <v>49.578400000000002</v>
      </c>
      <c r="J234" s="1" cm="1">
        <f t="array" ref="J234">_FV(Table_0[[#This Row],[Symbol]],"Market cap",TRUE)</f>
        <v>30192162000</v>
      </c>
    </row>
    <row r="235" spans="1:10" x14ac:dyDescent="0.25">
      <c r="A235">
        <v>232</v>
      </c>
      <c r="B235" t="s">
        <v>243</v>
      </c>
      <c r="C235" t="e" vm="232">
        <v>#VALUE!</v>
      </c>
      <c r="D235" t="str" cm="1">
        <f t="array" ref="D235">_FV(Table_0[[#This Row],[Symbol]],"Industry")</f>
        <v>Beverages</v>
      </c>
      <c r="E235" s="8">
        <v>9.5242999999999994E-2</v>
      </c>
      <c r="F235" s="11">
        <v>36.090000000000003</v>
      </c>
      <c r="G235" s="11">
        <v>-0.44</v>
      </c>
      <c r="H235" s="13" t="s">
        <v>634</v>
      </c>
      <c r="I235" s="9" cm="1">
        <f t="array" ref="I235">_FV(Table_0[[#This Row],[Symbol]],"P/E",TRUE)</f>
        <v>28.62</v>
      </c>
      <c r="J235" s="1" cm="1">
        <f t="array" ref="J235">_FV(Table_0[[#This Row],[Symbol]],"Market cap",TRUE)</f>
        <v>51112498590</v>
      </c>
    </row>
    <row r="236" spans="1:10" x14ac:dyDescent="0.25">
      <c r="A236">
        <v>233</v>
      </c>
      <c r="B236" t="s">
        <v>242</v>
      </c>
      <c r="C236" t="e" vm="233">
        <v>#VALUE!</v>
      </c>
      <c r="D236" t="str" cm="1">
        <f t="array" ref="D236">_FV(Table_0[[#This Row],[Symbol]],"Industry")</f>
        <v>Healthcare Equipment &amp; Supplies</v>
      </c>
      <c r="E236" s="8">
        <v>9.4789999999999999E-2</v>
      </c>
      <c r="F236" s="11">
        <v>206.74</v>
      </c>
      <c r="G236" s="11">
        <v>-3.4</v>
      </c>
      <c r="H236" s="13" t="s">
        <v>617</v>
      </c>
      <c r="I236" s="9" cm="1">
        <f t="array" ref="I236">_FV(Table_0[[#This Row],[Symbol]],"P/E",TRUE)</f>
        <v>36.39</v>
      </c>
      <c r="J236" s="1" cm="1">
        <f t="array" ref="J236">_FV(Table_0[[#This Row],[Symbol]],"Market cap",TRUE)</f>
        <v>32352380000</v>
      </c>
    </row>
    <row r="237" spans="1:10" x14ac:dyDescent="0.25">
      <c r="A237">
        <v>234</v>
      </c>
      <c r="B237" t="s">
        <v>240</v>
      </c>
      <c r="C237" t="e" vm="234">
        <v>#VALUE!</v>
      </c>
      <c r="D237" t="str" cm="1">
        <f t="array" ref="D237">_FV(Table_0[[#This Row],[Symbol]],"Industry")</f>
        <v>Communications &amp; Networking</v>
      </c>
      <c r="E237" s="8">
        <v>9.3279000000000001E-2</v>
      </c>
      <c r="F237" s="11">
        <v>119.1</v>
      </c>
      <c r="G237" s="11">
        <v>-4.24</v>
      </c>
      <c r="H237" s="13" t="s">
        <v>780</v>
      </c>
      <c r="I237" s="9" cm="1">
        <f t="array" ref="I237">_FV(Table_0[[#This Row],[Symbol]],"P/E",TRUE)</f>
        <v>33.603000000000002</v>
      </c>
      <c r="J237" s="1" cm="1">
        <f t="array" ref="J237">_FV(Table_0[[#This Row],[Symbol]],"Market cap",TRUE)</f>
        <v>36392168797</v>
      </c>
    </row>
    <row r="238" spans="1:10" x14ac:dyDescent="0.25">
      <c r="A238">
        <v>235</v>
      </c>
      <c r="B238" t="s">
        <v>258</v>
      </c>
      <c r="C238" t="e" vm="235">
        <v>#VALUE!</v>
      </c>
      <c r="D238" t="str" cm="1">
        <f t="array" ref="D238">_FV(Table_0[[#This Row],[Symbol]],"Industry")</f>
        <v>Residential &amp; Commercial REIT</v>
      </c>
      <c r="E238" s="8">
        <v>9.3081999999999998E-2</v>
      </c>
      <c r="F238" s="11">
        <v>63.34</v>
      </c>
      <c r="G238" s="11">
        <v>-0.64</v>
      </c>
      <c r="H238" s="13" t="s">
        <v>621</v>
      </c>
      <c r="I238" s="9" cm="1">
        <f t="array" ref="I238">_FV(Table_0[[#This Row],[Symbol]],"P/E",TRUE)</f>
        <v>169.12100000000001</v>
      </c>
      <c r="J238" s="1" cm="1">
        <f t="array" ref="J238">_FV(Table_0[[#This Row],[Symbol]],"Market cap",TRUE)</f>
        <v>29924786595</v>
      </c>
    </row>
    <row r="239" spans="1:10" x14ac:dyDescent="0.25">
      <c r="A239">
        <v>236</v>
      </c>
      <c r="B239" t="s">
        <v>266</v>
      </c>
      <c r="C239" t="e" vm="236">
        <v>#VALUE!</v>
      </c>
      <c r="D239" t="str" cm="1">
        <f t="array" ref="D239">_FV(Table_0[[#This Row],[Symbol]],"Industry")</f>
        <v>Multiline Utilities</v>
      </c>
      <c r="E239" s="8">
        <v>9.2970999999999998E-2</v>
      </c>
      <c r="F239" s="11">
        <v>59.33</v>
      </c>
      <c r="G239" s="11">
        <v>-1.17</v>
      </c>
      <c r="H239" s="13" t="s">
        <v>771</v>
      </c>
      <c r="I239" s="9" cm="1">
        <f t="array" ref="I239">_FV(Table_0[[#This Row],[Symbol]],"P/E",TRUE)</f>
        <v>44.194499999999998</v>
      </c>
      <c r="J239" s="1" cm="1">
        <f t="array" ref="J239">_FV(Table_0[[#This Row],[Symbol]],"Market cap",TRUE)</f>
        <v>29597546519</v>
      </c>
    </row>
    <row r="240" spans="1:10" x14ac:dyDescent="0.25">
      <c r="A240">
        <v>237</v>
      </c>
      <c r="B240" t="s">
        <v>250</v>
      </c>
      <c r="C240" t="e" vm="237">
        <v>#VALUE!</v>
      </c>
      <c r="D240" t="str" cm="1">
        <f t="array" ref="D240">_FV(Table_0[[#This Row],[Symbol]],"Industry")</f>
        <v>Residential &amp; Commercial REIT</v>
      </c>
      <c r="E240" s="8">
        <v>9.2803999999999998E-2</v>
      </c>
      <c r="F240" s="11">
        <v>277.77</v>
      </c>
      <c r="G240" s="11">
        <v>-2.91</v>
      </c>
      <c r="H240" s="13" t="s">
        <v>767</v>
      </c>
      <c r="I240" s="9" cm="1">
        <f t="array" ref="I240">_FV(Table_0[[#This Row],[Symbol]],"P/E",TRUE)</f>
        <v>75.576999999999998</v>
      </c>
      <c r="J240" s="1" cm="1">
        <f t="array" ref="J240">_FV(Table_0[[#This Row],[Symbol]],"Market cap",TRUE)</f>
        <v>30303770000</v>
      </c>
    </row>
    <row r="241" spans="1:10" x14ac:dyDescent="0.25">
      <c r="A241">
        <v>238</v>
      </c>
      <c r="B241" t="s">
        <v>262</v>
      </c>
      <c r="C241" t="e" vm="238">
        <v>#VALUE!</v>
      </c>
      <c r="D241" t="str" cm="1">
        <f t="array" ref="D241">_FV(Table_0[[#This Row],[Symbol]],"Industry")</f>
        <v>Electrical Utilities &amp; IPPs</v>
      </c>
      <c r="E241" s="8">
        <v>9.2182E-2</v>
      </c>
      <c r="F241" s="11">
        <v>93.57</v>
      </c>
      <c r="G241" s="11">
        <v>-1.34</v>
      </c>
      <c r="H241" s="13" t="s">
        <v>637</v>
      </c>
      <c r="I241" s="9" cm="1">
        <f t="array" ref="I241">_FV(Table_0[[#This Row],[Symbol]],"P/E",TRUE)</f>
        <v>21.751899999999999</v>
      </c>
      <c r="J241" s="1" cm="1">
        <f t="array" ref="J241">_FV(Table_0[[#This Row],[Symbol]],"Market cap",TRUE)</f>
        <v>29513628992</v>
      </c>
    </row>
    <row r="242" spans="1:10" x14ac:dyDescent="0.25">
      <c r="A242">
        <v>239</v>
      </c>
      <c r="B242" t="s">
        <v>261</v>
      </c>
      <c r="C242" t="e" vm="239">
        <v>#VALUE!</v>
      </c>
      <c r="D242" t="str" cm="1">
        <f t="array" ref="D242">_FV(Table_0[[#This Row],[Symbol]],"Industry")</f>
        <v>Chemicals</v>
      </c>
      <c r="E242" s="8">
        <v>9.1715000000000005E-2</v>
      </c>
      <c r="F242" s="11">
        <v>123.79</v>
      </c>
      <c r="G242" s="11">
        <v>-3.36</v>
      </c>
      <c r="H242" s="13" t="s">
        <v>705</v>
      </c>
      <c r="I242" s="9" cm="1">
        <f t="array" ref="I242">_FV(Table_0[[#This Row],[Symbol]],"P/E",TRUE)</f>
        <v>28.590599999999998</v>
      </c>
      <c r="J242" s="1" cm="1">
        <f t="array" ref="J242">_FV(Table_0[[#This Row],[Symbol]],"Market cap",TRUE)</f>
        <v>29094041846</v>
      </c>
    </row>
    <row r="243" spans="1:10" x14ac:dyDescent="0.25">
      <c r="A243">
        <v>240</v>
      </c>
      <c r="B243" t="s">
        <v>264</v>
      </c>
      <c r="C243" t="e" vm="240">
        <v>#VALUE!</v>
      </c>
      <c r="D243" t="str" cm="1">
        <f t="array" ref="D243">_FV(Table_0[[#This Row],[Symbol]],"Industry")</f>
        <v>Machinery, Equipment &amp; Components</v>
      </c>
      <c r="E243" s="8">
        <v>9.1442999999999997E-2</v>
      </c>
      <c r="F243" s="11">
        <v>252.54</v>
      </c>
      <c r="G243" s="11">
        <v>-6.82</v>
      </c>
      <c r="H243" s="13" t="s">
        <v>756</v>
      </c>
      <c r="I243" s="9" cm="1">
        <f t="array" ref="I243">_FV(Table_0[[#This Row],[Symbol]],"P/E",TRUE)</f>
        <v>32.537100000000002</v>
      </c>
      <c r="J243" s="1" cm="1">
        <f t="array" ref="J243">_FV(Table_0[[#This Row],[Symbol]],"Market cap",TRUE)</f>
        <v>29785980000</v>
      </c>
    </row>
    <row r="244" spans="1:10" x14ac:dyDescent="0.25">
      <c r="A244">
        <v>241</v>
      </c>
      <c r="B244" t="s">
        <v>270</v>
      </c>
      <c r="C244" t="e" vm="241">
        <v>#VALUE!</v>
      </c>
      <c r="D244" t="str" cm="1">
        <f t="array" ref="D244">_FV(Table_0[[#This Row],[Symbol]],"Industry")</f>
        <v>Oil &amp; Gas Related Equipment and Services</v>
      </c>
      <c r="E244" s="8">
        <v>9.1121999999999995E-2</v>
      </c>
      <c r="F244" s="11">
        <v>28.12</v>
      </c>
      <c r="G244" s="11">
        <v>-1.24</v>
      </c>
      <c r="H244" s="13" t="s">
        <v>669</v>
      </c>
      <c r="I244" s="9" cm="1">
        <f t="array" ref="I244">_FV(Table_0[[#This Row],[Symbol]],"P/E",TRUE)</f>
        <v>85.287700000000001</v>
      </c>
      <c r="J244" s="1" cm="1">
        <f t="array" ref="J244">_FV(Table_0[[#This Row],[Symbol]],"Market cap",TRUE)</f>
        <v>29598520000</v>
      </c>
    </row>
    <row r="245" spans="1:10" x14ac:dyDescent="0.25">
      <c r="A245">
        <v>242</v>
      </c>
      <c r="B245" t="s">
        <v>253</v>
      </c>
      <c r="C245" t="e" vm="242">
        <v>#VALUE!</v>
      </c>
      <c r="D245" t="str" cm="1">
        <f t="array" ref="D245">_FV(Table_0[[#This Row],[Symbol]],"Industry")</f>
        <v>Diversified Retail</v>
      </c>
      <c r="E245" s="8">
        <v>9.0798000000000004E-2</v>
      </c>
      <c r="F245" s="11">
        <v>138.24</v>
      </c>
      <c r="G245" s="11">
        <v>-1.94</v>
      </c>
      <c r="H245" s="13" t="s">
        <v>629</v>
      </c>
      <c r="I245" s="9" cm="1">
        <f t="array" ref="I245">_FV(Table_0[[#This Row],[Symbol]],"P/E",TRUE)</f>
        <v>19.615200000000002</v>
      </c>
      <c r="J245" s="1" cm="1">
        <f t="array" ref="J245">_FV(Table_0[[#This Row],[Symbol]],"Market cap",TRUE)</f>
        <v>30582074892</v>
      </c>
    </row>
    <row r="246" spans="1:10" x14ac:dyDescent="0.25">
      <c r="A246">
        <v>243</v>
      </c>
      <c r="B246" t="s">
        <v>260</v>
      </c>
      <c r="C246" t="e" vm="243">
        <v>#VALUE!</v>
      </c>
      <c r="D246" t="str" cm="1">
        <f t="array" ref="D246">_FV(Table_0[[#This Row],[Symbol]],"Industry")</f>
        <v>Electrical Utilities &amp; IPPs</v>
      </c>
      <c r="E246" s="8">
        <v>9.0278999999999998E-2</v>
      </c>
      <c r="F246" s="11">
        <v>87.02</v>
      </c>
      <c r="G246" s="11">
        <v>-2.63</v>
      </c>
      <c r="H246" s="13" t="s">
        <v>735</v>
      </c>
      <c r="I246" s="9" cm="1">
        <f t="array" ref="I246">_FV(Table_0[[#This Row],[Symbol]],"P/E",TRUE)</f>
        <v>44.336199999999998</v>
      </c>
      <c r="J246" s="1" cm="1">
        <f t="array" ref="J246">_FV(Table_0[[#This Row],[Symbol]],"Market cap",TRUE)</f>
        <v>28457097658</v>
      </c>
    </row>
    <row r="247" spans="1:10" x14ac:dyDescent="0.25">
      <c r="A247">
        <v>244</v>
      </c>
      <c r="B247" t="s">
        <v>272</v>
      </c>
      <c r="C247" t="e" vm="244">
        <v>#VALUE!</v>
      </c>
      <c r="D247" t="str" cm="1">
        <f t="array" ref="D247">_FV(Table_0[[#This Row],[Symbol]],"Industry")</f>
        <v>Oil &amp; Gas Related Equipment and Services</v>
      </c>
      <c r="E247" s="8">
        <v>8.9477000000000001E-2</v>
      </c>
      <c r="F247" s="11">
        <v>63.36</v>
      </c>
      <c r="G247" s="11">
        <v>-1.65</v>
      </c>
      <c r="H247" s="13" t="s">
        <v>779</v>
      </c>
      <c r="I247" s="9" cm="1">
        <f t="array" ref="I247">_FV(Table_0[[#This Row],[Symbol]],"P/E",TRUE)</f>
        <v>18.046700000000001</v>
      </c>
      <c r="J247" s="1" cm="1">
        <f t="array" ref="J247">_FV(Table_0[[#This Row],[Symbol]],"Market cap",TRUE)</f>
        <v>28314567925</v>
      </c>
    </row>
    <row r="248" spans="1:10" x14ac:dyDescent="0.25">
      <c r="A248">
        <v>245</v>
      </c>
      <c r="B248" t="s">
        <v>271</v>
      </c>
      <c r="C248" t="e" vm="245">
        <v>#VALUE!</v>
      </c>
      <c r="D248" t="str" cm="1">
        <f t="array" ref="D248">_FV(Table_0[[#This Row],[Symbol]],"Industry")</f>
        <v>Electrical Utilities &amp; IPPs</v>
      </c>
      <c r="E248" s="8">
        <v>8.9279999999999998E-2</v>
      </c>
      <c r="F248" s="11">
        <v>82.3</v>
      </c>
      <c r="G248" s="11">
        <v>-1.69</v>
      </c>
      <c r="H248" s="13" t="s">
        <v>652</v>
      </c>
      <c r="I248" s="9" cm="1">
        <f t="array" ref="I248">_FV(Table_0[[#This Row],[Symbol]],"P/E",TRUE)</f>
        <v>20.8948</v>
      </c>
      <c r="J248" s="1" cm="1">
        <f t="array" ref="J248">_FV(Table_0[[#This Row],[Symbol]],"Market cap",TRUE)</f>
        <v>28663957483</v>
      </c>
    </row>
    <row r="249" spans="1:10" x14ac:dyDescent="0.25">
      <c r="A249">
        <v>246</v>
      </c>
      <c r="B249" t="s">
        <v>247</v>
      </c>
      <c r="C249" t="e" vm="246">
        <v>#VALUE!</v>
      </c>
      <c r="D249" t="str" cm="1">
        <f t="array" ref="D249">_FV(Table_0[[#This Row],[Symbol]],"Industry")</f>
        <v>Food &amp; Drug Retailing</v>
      </c>
      <c r="E249" s="8">
        <v>8.9209999999999998E-2</v>
      </c>
      <c r="F249" s="11">
        <v>44.67</v>
      </c>
      <c r="G249" s="11">
        <v>0.21</v>
      </c>
      <c r="H249" s="13" t="s">
        <v>596</v>
      </c>
      <c r="I249" s="9" cm="1">
        <f t="array" ref="I249">_FV(Table_0[[#This Row],[Symbol]],"P/E",TRUE)</f>
        <v>13.964399999999999</v>
      </c>
      <c r="J249" s="1" cm="1">
        <f t="array" ref="J249">_FV(Table_0[[#This Row],[Symbol]],"Market cap",TRUE)</f>
        <v>31975764273</v>
      </c>
    </row>
    <row r="250" spans="1:10" x14ac:dyDescent="0.25">
      <c r="A250">
        <v>247</v>
      </c>
      <c r="B250" t="s">
        <v>283</v>
      </c>
      <c r="C250" t="e" vm="247">
        <v>#VALUE!</v>
      </c>
      <c r="D250" t="str" cm="1">
        <f t="array" ref="D250">_FV(Table_0[[#This Row],[Symbol]],"Industry")</f>
        <v>Investment Banking &amp; Investment Services</v>
      </c>
      <c r="E250" s="8">
        <v>8.8937000000000002E-2</v>
      </c>
      <c r="F250" s="11">
        <v>76.03</v>
      </c>
      <c r="G250" s="11">
        <v>-2.68</v>
      </c>
      <c r="H250" s="13" t="s">
        <v>680</v>
      </c>
      <c r="I250" s="9" cm="1">
        <f t="array" ref="I250">_FV(Table_0[[#This Row],[Symbol]],"P/E",TRUE)</f>
        <v>11.1477</v>
      </c>
      <c r="J250" s="1" cm="1">
        <f t="array" ref="J250">_FV(Table_0[[#This Row],[Symbol]],"Market cap",TRUE)</f>
        <v>27898463406</v>
      </c>
    </row>
    <row r="251" spans="1:10" x14ac:dyDescent="0.25">
      <c r="A251">
        <v>248</v>
      </c>
      <c r="B251" t="s">
        <v>257</v>
      </c>
      <c r="C251" t="e" vm="248">
        <v>#VALUE!</v>
      </c>
      <c r="D251" t="str" cm="1">
        <f t="array" ref="D251">_FV(Table_0[[#This Row],[Symbol]],"Industry")</f>
        <v>Residential &amp; Commercial REIT</v>
      </c>
      <c r="E251" s="8">
        <v>8.8589000000000001E-2</v>
      </c>
      <c r="F251" s="11">
        <v>98.41</v>
      </c>
      <c r="G251" s="11">
        <v>-2.04</v>
      </c>
      <c r="H251" s="13" t="s">
        <v>762</v>
      </c>
      <c r="I251" s="9" cm="1">
        <f t="array" ref="I251">_FV(Table_0[[#This Row],[Symbol]],"P/E",TRUE)</f>
        <v>20.614899999999999</v>
      </c>
      <c r="J251" s="1" cm="1">
        <f t="array" ref="J251">_FV(Table_0[[#This Row],[Symbol]],"Market cap",TRUE)</f>
        <v>28295069543</v>
      </c>
    </row>
    <row r="252" spans="1:10" x14ac:dyDescent="0.25">
      <c r="A252">
        <v>249</v>
      </c>
      <c r="B252" t="s">
        <v>255</v>
      </c>
      <c r="C252" t="e" vm="249">
        <v>#VALUE!</v>
      </c>
      <c r="D252" t="str" cm="1">
        <f t="array" ref="D252">_FV(Table_0[[#This Row],[Symbol]],"Industry")</f>
        <v>Software &amp; IT Services</v>
      </c>
      <c r="E252" s="8">
        <v>8.8298000000000001E-2</v>
      </c>
      <c r="F252" s="11">
        <v>54.5</v>
      </c>
      <c r="G252" s="11">
        <v>-1.1399999999999999</v>
      </c>
      <c r="H252" s="13" t="s">
        <v>772</v>
      </c>
      <c r="I252" s="9" cm="1">
        <f t="array" ref="I252">_FV(Table_0[[#This Row],[Symbol]],"P/E",TRUE)</f>
        <v>12.3863</v>
      </c>
      <c r="J252" s="1" cm="1">
        <f t="array" ref="J252">_FV(Table_0[[#This Row],[Symbol]],"Market cap",TRUE)</f>
        <v>28008716300</v>
      </c>
    </row>
    <row r="253" spans="1:10" x14ac:dyDescent="0.25">
      <c r="A253">
        <v>250</v>
      </c>
      <c r="B253" t="s">
        <v>286</v>
      </c>
      <c r="C253" t="e" vm="250">
        <v>#VALUE!</v>
      </c>
      <c r="D253" t="str" cm="1">
        <f t="array" ref="D253">_FV(Table_0[[#This Row],[Symbol]],"Industry")</f>
        <v>Homebuilding &amp; Construction Supplies</v>
      </c>
      <c r="E253" s="8">
        <v>8.7065000000000003E-2</v>
      </c>
      <c r="F253" s="11">
        <v>88.05</v>
      </c>
      <c r="G253" s="11">
        <v>-1.7</v>
      </c>
      <c r="H253" s="13" t="s">
        <v>646</v>
      </c>
      <c r="I253" s="9" cm="1">
        <f t="array" ref="I253">_FV(Table_0[[#This Row],[Symbol]],"P/E",TRUE)</f>
        <v>5.4280999999999997</v>
      </c>
      <c r="J253" s="1" cm="1">
        <f t="array" ref="J253">_FV(Table_0[[#This Row],[Symbol]],"Market cap",TRUE)</f>
        <v>30337442595</v>
      </c>
    </row>
    <row r="254" spans="1:10" x14ac:dyDescent="0.25">
      <c r="A254">
        <v>251</v>
      </c>
      <c r="B254" t="s">
        <v>263</v>
      </c>
      <c r="C254" t="e" vm="251">
        <v>#VALUE!</v>
      </c>
      <c r="D254" t="str" cm="1">
        <f t="array" ref="D254">_FV(Table_0[[#This Row],[Symbol]],"Industry")</f>
        <v>Semiconductors &amp; Semiconductor Equipment</v>
      </c>
      <c r="E254" s="8">
        <v>8.6454000000000003E-2</v>
      </c>
      <c r="F254" s="11">
        <v>61.12</v>
      </c>
      <c r="G254" s="11">
        <v>-3.92</v>
      </c>
      <c r="H254" s="13" t="s">
        <v>817</v>
      </c>
      <c r="I254" s="9" cm="1">
        <f t="array" ref="I254">_FV(Table_0[[#This Row],[Symbol]],"P/E",TRUE)</f>
        <v>16.874199999999998</v>
      </c>
      <c r="J254" s="1" cm="1">
        <f t="array" ref="J254">_FV(Table_0[[#This Row],[Symbol]],"Market cap",TRUE)</f>
        <v>26425406196</v>
      </c>
    </row>
    <row r="255" spans="1:10" x14ac:dyDescent="0.25">
      <c r="A255">
        <v>252</v>
      </c>
      <c r="B255" t="s">
        <v>281</v>
      </c>
      <c r="C255" t="e" vm="252">
        <v>#VALUE!</v>
      </c>
      <c r="D255" t="str" cm="1">
        <f t="array" ref="D255">_FV(Table_0[[#This Row],[Symbol]],"Industry")</f>
        <v>Water Utilities</v>
      </c>
      <c r="E255" s="8">
        <v>8.5404999999999995E-2</v>
      </c>
      <c r="F255" s="11">
        <v>150</v>
      </c>
      <c r="G255" s="11">
        <v>-2.5299999999999998</v>
      </c>
      <c r="H255" s="13" t="s">
        <v>786</v>
      </c>
      <c r="I255" s="9" cm="1">
        <f t="array" ref="I255">_FV(Table_0[[#This Row],[Symbol]],"P/E",TRUE)</f>
        <v>21.0626</v>
      </c>
      <c r="J255" s="1" cm="1">
        <f t="array" ref="J255">_FV(Table_0[[#This Row],[Symbol]],"Market cap",TRUE)</f>
        <v>27270548442</v>
      </c>
    </row>
    <row r="256" spans="1:10" x14ac:dyDescent="0.25">
      <c r="A256">
        <v>253</v>
      </c>
      <c r="B256" t="s">
        <v>269</v>
      </c>
      <c r="C256" t="e" vm="253">
        <v>#VALUE!</v>
      </c>
      <c r="D256" t="str" cm="1">
        <f t="array" ref="D256">_FV(Table_0[[#This Row],[Symbol]],"Industry")</f>
        <v>Food &amp; Drug Retailing</v>
      </c>
      <c r="E256" s="8">
        <v>8.5319999999999993E-2</v>
      </c>
      <c r="F256" s="11">
        <v>37.869999999999997</v>
      </c>
      <c r="G256" s="11">
        <v>-0.74</v>
      </c>
      <c r="H256" s="13" t="s">
        <v>746</v>
      </c>
      <c r="I256" s="9" cm="1">
        <f t="array" ref="I256">_FV(Table_0[[#This Row],[Symbol]],"P/E",TRUE)</f>
        <v>7.7187000000000001</v>
      </c>
      <c r="J256" s="1" cm="1">
        <f t="array" ref="J256">_FV(Table_0[[#This Row],[Symbol]],"Market cap",TRUE)</f>
        <v>32652284483</v>
      </c>
    </row>
    <row r="257" spans="1:10" x14ac:dyDescent="0.25">
      <c r="A257">
        <v>254</v>
      </c>
      <c r="B257" t="s">
        <v>274</v>
      </c>
      <c r="C257" t="e" vm="254">
        <v>#VALUE!</v>
      </c>
      <c r="D257" t="str" cm="1">
        <f t="array" ref="D257">_FV(Table_0[[#This Row],[Symbol]],"Industry")</f>
        <v>Software &amp; IT Services</v>
      </c>
      <c r="E257" s="8">
        <v>8.4834000000000007E-2</v>
      </c>
      <c r="F257" s="11">
        <v>172.56</v>
      </c>
      <c r="G257" s="11">
        <v>-3.56</v>
      </c>
      <c r="H257" s="13" t="s">
        <v>640</v>
      </c>
      <c r="I257" s="9" cm="1">
        <f t="array" ref="I257">_FV(Table_0[[#This Row],[Symbol]],"P/E",TRUE)</f>
        <v>27.3477</v>
      </c>
      <c r="J257" s="1" cm="1">
        <f t="array" ref="J257">_FV(Table_0[[#This Row],[Symbol]],"Market cap",TRUE)</f>
        <v>27543040000</v>
      </c>
    </row>
    <row r="258" spans="1:10" x14ac:dyDescent="0.25">
      <c r="A258">
        <v>255</v>
      </c>
      <c r="B258" t="s">
        <v>289</v>
      </c>
      <c r="C258" t="e" vm="255">
        <v>#VALUE!</v>
      </c>
      <c r="D258" t="str" cm="1">
        <f t="array" ref="D258">_FV(Table_0[[#This Row],[Symbol]],"Industry")</f>
        <v>Healthcare Equipment &amp; Supplies</v>
      </c>
      <c r="E258" s="8">
        <v>8.4441000000000002E-2</v>
      </c>
      <c r="F258" s="11">
        <v>169.11</v>
      </c>
      <c r="G258" s="11">
        <v>-0.21</v>
      </c>
      <c r="H258" s="13" t="s">
        <v>614</v>
      </c>
      <c r="I258" s="9" cm="1">
        <f t="array" ref="I258">_FV(Table_0[[#This Row],[Symbol]],"P/E",TRUE)</f>
        <v>21.0655</v>
      </c>
      <c r="J258" s="1" cm="1">
        <f t="array" ref="J258">_FV(Table_0[[#This Row],[Symbol]],"Market cap",TRUE)</f>
        <v>34234865154</v>
      </c>
    </row>
    <row r="259" spans="1:10" x14ac:dyDescent="0.25">
      <c r="A259">
        <v>256</v>
      </c>
      <c r="B259" t="s">
        <v>259</v>
      </c>
      <c r="C259" t="e" vm="256">
        <v>#VALUE!</v>
      </c>
      <c r="D259" t="str" cm="1">
        <f t="array" ref="D259">_FV(Table_0[[#This Row],[Symbol]],"Industry")</f>
        <v>Chemicals</v>
      </c>
      <c r="E259" s="8">
        <v>8.3921999999999997E-2</v>
      </c>
      <c r="F259" s="11">
        <v>223.98</v>
      </c>
      <c r="G259" s="11">
        <v>-8.65</v>
      </c>
      <c r="H259" s="13" t="s">
        <v>843</v>
      </c>
      <c r="I259" s="9" cm="1">
        <f t="array" ref="I259">_FV(Table_0[[#This Row],[Symbol]],"P/E",TRUE)</f>
        <v>17.639199999999999</v>
      </c>
      <c r="J259" s="1" cm="1">
        <f t="array" ref="J259">_FV(Table_0[[#This Row],[Symbol]],"Market cap",TRUE)</f>
        <v>26279716096</v>
      </c>
    </row>
    <row r="260" spans="1:10" x14ac:dyDescent="0.25">
      <c r="A260">
        <v>257</v>
      </c>
      <c r="B260" t="s">
        <v>268</v>
      </c>
      <c r="C260" t="e" vm="257">
        <v>#VALUE!</v>
      </c>
      <c r="D260" t="str" cm="1">
        <f t="array" ref="D260">_FV(Table_0[[#This Row],[Symbol]],"Industry")</f>
        <v>Machinery, Equipment &amp; Components</v>
      </c>
      <c r="E260" s="8">
        <v>8.3779000000000006E-2</v>
      </c>
      <c r="F260" s="11">
        <v>46.99</v>
      </c>
      <c r="G260" s="11">
        <v>-0.95</v>
      </c>
      <c r="H260" s="13" t="s">
        <v>658</v>
      </c>
      <c r="I260" s="9" cm="1">
        <f t="array" ref="I260">_FV(Table_0[[#This Row],[Symbol]],"P/E",TRUE)</f>
        <v>25.7818</v>
      </c>
      <c r="J260" s="1" cm="1">
        <f t="array" ref="J260">_FV(Table_0[[#This Row],[Symbol]],"Market cap",TRUE)</f>
        <v>26913987701</v>
      </c>
    </row>
    <row r="261" spans="1:10" x14ac:dyDescent="0.25">
      <c r="A261">
        <v>258</v>
      </c>
      <c r="B261" t="s">
        <v>280</v>
      </c>
      <c r="C261" t="e" vm="258">
        <v>#VALUE!</v>
      </c>
      <c r="D261" t="str" cm="1">
        <f t="array" ref="D261">_FV(Table_0[[#This Row],[Symbol]],"Industry")</f>
        <v>Software &amp; IT Services</v>
      </c>
      <c r="E261" s="8">
        <v>8.2986000000000004E-2</v>
      </c>
      <c r="F261" s="11">
        <v>333.78</v>
      </c>
      <c r="G261" s="11">
        <v>-8.06</v>
      </c>
      <c r="H261" s="13" t="s">
        <v>734</v>
      </c>
      <c r="I261" s="9" cm="1">
        <f t="array" ref="I261">_FV(Table_0[[#This Row],[Symbol]],"P/E",TRUE)</f>
        <v>36.868000000000002</v>
      </c>
      <c r="J261" s="1" cm="1">
        <f t="array" ref="J261">_FV(Table_0[[#This Row],[Symbol]],"Market cap",TRUE)</f>
        <v>26383869750</v>
      </c>
    </row>
    <row r="262" spans="1:10" x14ac:dyDescent="0.25">
      <c r="A262">
        <v>259</v>
      </c>
      <c r="B262" t="s">
        <v>273</v>
      </c>
      <c r="C262" t="e" vm="259">
        <v>#VALUE!</v>
      </c>
      <c r="D262" t="str" cm="1">
        <f t="array" ref="D262">_FV(Table_0[[#This Row],[Symbol]],"Industry")</f>
        <v>Professional &amp; Commercial Services</v>
      </c>
      <c r="E262" s="8">
        <v>8.2877000000000006E-2</v>
      </c>
      <c r="F262" s="11">
        <v>128.9</v>
      </c>
      <c r="G262" s="11">
        <v>-2.59</v>
      </c>
      <c r="H262" s="13" t="s">
        <v>789</v>
      </c>
      <c r="I262" s="9" cm="1">
        <f t="array" ref="I262">_FV(Table_0[[#This Row],[Symbol]],"P/E",TRUE)</f>
        <v>28.700600000000001</v>
      </c>
      <c r="J262" s="1" cm="1">
        <f t="array" ref="J262">_FV(Table_0[[#This Row],[Symbol]],"Market cap",TRUE)</f>
        <v>40730936005</v>
      </c>
    </row>
    <row r="263" spans="1:10" x14ac:dyDescent="0.25">
      <c r="A263">
        <v>260</v>
      </c>
      <c r="B263" t="s">
        <v>296</v>
      </c>
      <c r="C263" t="e" vm="260">
        <v>#VALUE!</v>
      </c>
      <c r="D263" t="str" cm="1">
        <f t="array" ref="D263">_FV(Table_0[[#This Row],[Symbol]],"Industry")</f>
        <v>Healthcare Equipment &amp; Supplies</v>
      </c>
      <c r="E263" s="8">
        <v>8.2119999999999999E-2</v>
      </c>
      <c r="F263" s="11">
        <v>125.18</v>
      </c>
      <c r="G263" s="11">
        <v>-1.9</v>
      </c>
      <c r="H263" s="13" t="s">
        <v>604</v>
      </c>
      <c r="I263" s="9" cm="1">
        <f t="array" ref="I263">_FV(Table_0[[#This Row],[Symbol]],"P/E",TRUE)</f>
        <v>79.087400000000002</v>
      </c>
      <c r="J263" s="1" cm="1">
        <f t="array" ref="J263">_FV(Table_0[[#This Row],[Symbol]],"Market cap",TRUE)</f>
        <v>26269323432</v>
      </c>
    </row>
    <row r="264" spans="1:10" x14ac:dyDescent="0.25">
      <c r="A264">
        <v>261</v>
      </c>
      <c r="B264" t="s">
        <v>287</v>
      </c>
      <c r="C264" t="e" vm="261">
        <v>#VALUE!</v>
      </c>
      <c r="D264" t="str" cm="1">
        <f t="array" ref="D264">_FV(Table_0[[#This Row],[Symbol]],"Industry")</f>
        <v>Insurance</v>
      </c>
      <c r="E264" s="8">
        <v>8.2115999999999995E-2</v>
      </c>
      <c r="F264" s="11">
        <v>240.94</v>
      </c>
      <c r="G264" s="11">
        <v>-2.66</v>
      </c>
      <c r="H264" s="13" t="s">
        <v>755</v>
      </c>
      <c r="I264" s="9" cm="1">
        <f t="array" ref="I264">_FV(Table_0[[#This Row],[Symbol]],"P/E",TRUE)</f>
        <v>28.725999999999999</v>
      </c>
      <c r="J264" s="1" cm="1">
        <f t="array" ref="J264">_FV(Table_0[[#This Row],[Symbol]],"Market cap",TRUE)</f>
        <v>26078767344</v>
      </c>
    </row>
    <row r="265" spans="1:10" x14ac:dyDescent="0.25">
      <c r="A265">
        <v>262</v>
      </c>
      <c r="B265" t="s">
        <v>267</v>
      </c>
      <c r="C265" t="e" vm="262">
        <v>#VALUE!</v>
      </c>
      <c r="D265" t="str" cm="1">
        <f t="array" ref="D265">_FV(Table_0[[#This Row],[Symbol]],"Industry")</f>
        <v>Banking Services</v>
      </c>
      <c r="E265" s="8">
        <v>8.1989000000000006E-2</v>
      </c>
      <c r="F265" s="11">
        <v>95.52</v>
      </c>
      <c r="G265" s="11">
        <v>-2.2799999999999998</v>
      </c>
      <c r="H265" s="13" t="s">
        <v>664</v>
      </c>
      <c r="I265" s="9" cm="1">
        <f t="array" ref="I265">_FV(Table_0[[#This Row],[Symbol]],"P/E",TRUE)</f>
        <v>6.3108000000000004</v>
      </c>
      <c r="J265" s="1" cm="1">
        <f t="array" ref="J265">_FV(Table_0[[#This Row],[Symbol]],"Market cap",TRUE)</f>
        <v>26098528416</v>
      </c>
    </row>
    <row r="266" spans="1:10" x14ac:dyDescent="0.25">
      <c r="A266">
        <v>263</v>
      </c>
      <c r="B266" t="s">
        <v>291</v>
      </c>
      <c r="C266" t="e" vm="263">
        <v>#VALUE!</v>
      </c>
      <c r="D266" t="str" cm="1">
        <f t="array" ref="D266">_FV(Table_0[[#This Row],[Symbol]],"Industry")</f>
        <v>Food &amp; Tobacco</v>
      </c>
      <c r="E266" s="8">
        <v>8.1684000000000007E-2</v>
      </c>
      <c r="F266" s="11">
        <v>101.72</v>
      </c>
      <c r="G266" s="11">
        <v>-2.3199999999999998</v>
      </c>
      <c r="H266" s="13" t="s">
        <v>724</v>
      </c>
      <c r="I266" s="9" cm="1">
        <f t="array" ref="I266">_FV(Table_0[[#This Row],[Symbol]],"P/E",TRUE)</f>
        <v>38.623600000000003</v>
      </c>
      <c r="J266" s="1" cm="1">
        <f t="array" ref="J266">_FV(Table_0[[#This Row],[Symbol]],"Market cap",TRUE)</f>
        <v>25932205362</v>
      </c>
    </row>
    <row r="267" spans="1:10" x14ac:dyDescent="0.25">
      <c r="A267">
        <v>264</v>
      </c>
      <c r="B267" t="s">
        <v>276</v>
      </c>
      <c r="C267" t="e" vm="264">
        <v>#VALUE!</v>
      </c>
      <c r="D267" t="str" cm="1">
        <f t="array" ref="D267">_FV(Table_0[[#This Row],[Symbol]],"Industry")</f>
        <v>Professional &amp; Commercial Services</v>
      </c>
      <c r="E267" s="8">
        <v>8.1463999999999995E-2</v>
      </c>
      <c r="F267" s="11">
        <v>92.76</v>
      </c>
      <c r="G267" s="11">
        <v>-3.03</v>
      </c>
      <c r="H267" s="13" t="s">
        <v>852</v>
      </c>
      <c r="I267" s="9" cm="1">
        <f t="array" ref="I267">_FV(Table_0[[#This Row],[Symbol]],"P/E",TRUE)</f>
        <v>427.40499999999997</v>
      </c>
      <c r="J267" s="1" cm="1">
        <f t="array" ref="J267">_FV(Table_0[[#This Row],[Symbol]],"Market cap",TRUE)</f>
        <v>25082415312</v>
      </c>
    </row>
    <row r="268" spans="1:10" x14ac:dyDescent="0.25">
      <c r="A268">
        <v>265</v>
      </c>
      <c r="B268" t="s">
        <v>285</v>
      </c>
      <c r="C268" t="e" vm="265">
        <v>#VALUE!</v>
      </c>
      <c r="D268" t="str" cm="1">
        <f t="array" ref="D268">_FV(Table_0[[#This Row],[Symbol]],"Industry")</f>
        <v>Freight &amp; Logistics Services</v>
      </c>
      <c r="E268" s="8">
        <v>8.0756999999999995E-2</v>
      </c>
      <c r="F268" s="11">
        <v>278.20999999999998</v>
      </c>
      <c r="G268" s="11">
        <v>-9.1</v>
      </c>
      <c r="H268" s="13" t="s">
        <v>709</v>
      </c>
      <c r="I268" s="9" cm="1">
        <f t="array" ref="I268">_FV(Table_0[[#This Row],[Symbol]],"P/E",TRUE)</f>
        <v>24.6021</v>
      </c>
      <c r="J268" s="1" cm="1">
        <f t="array" ref="J268">_FV(Table_0[[#This Row],[Symbol]],"Market cap",TRUE)</f>
        <v>30737085935</v>
      </c>
    </row>
    <row r="269" spans="1:10" x14ac:dyDescent="0.25">
      <c r="A269">
        <v>266</v>
      </c>
      <c r="B269" t="s">
        <v>277</v>
      </c>
      <c r="C269" t="e" vm="266">
        <v>#VALUE!</v>
      </c>
      <c r="D269" t="str" cm="1">
        <f t="array" ref="D269">_FV(Table_0[[#This Row],[Symbol]],"Industry")</f>
        <v>Specialty Retailers</v>
      </c>
      <c r="E269" s="8">
        <v>8.0561999999999995E-2</v>
      </c>
      <c r="F269" s="11">
        <v>59.45</v>
      </c>
      <c r="G269" s="11">
        <v>-1.6</v>
      </c>
      <c r="H269" s="13" t="s">
        <v>785</v>
      </c>
      <c r="I269" s="9" cm="1">
        <f t="array" ref="I269">_FV(Table_0[[#This Row],[Symbol]],"P/E",TRUE)</f>
        <v>27.349900000000002</v>
      </c>
      <c r="J269" s="1" cm="1">
        <f t="array" ref="J269">_FV(Table_0[[#This Row],[Symbol]],"Market cap",TRUE)</f>
        <v>28316035000</v>
      </c>
    </row>
    <row r="270" spans="1:10" x14ac:dyDescent="0.25">
      <c r="A270">
        <v>267</v>
      </c>
      <c r="B270" t="s">
        <v>298</v>
      </c>
      <c r="C270" t="e" vm="267">
        <v>#VALUE!</v>
      </c>
      <c r="D270" t="str" cm="1">
        <f t="array" ref="D270">_FV(Table_0[[#This Row],[Symbol]],"Industry")</f>
        <v>Electrical Utilities &amp; IPPs</v>
      </c>
      <c r="E270" s="8">
        <v>7.9078999999999997E-2</v>
      </c>
      <c r="F270" s="11">
        <v>15.71</v>
      </c>
      <c r="G270" s="11">
        <v>-0.24</v>
      </c>
      <c r="H270" s="13" t="s">
        <v>604</v>
      </c>
      <c r="I270" s="9" cm="1">
        <f t="array" ref="I270">_FV(Table_0[[#This Row],[Symbol]],"P/E",TRUE)</f>
        <v>18.976099999999999</v>
      </c>
      <c r="J270" s="1" cm="1">
        <f t="array" ref="J270">_FV(Table_0[[#This Row],[Symbol]],"Market cap",TRUE)</f>
        <v>38732125240</v>
      </c>
    </row>
    <row r="271" spans="1:10" x14ac:dyDescent="0.25">
      <c r="A271">
        <v>268</v>
      </c>
      <c r="B271" t="s">
        <v>282</v>
      </c>
      <c r="C271" t="e" vm="268">
        <v>#VALUE!</v>
      </c>
      <c r="D271" t="str" cm="1">
        <f t="array" ref="D271">_FV(Table_0[[#This Row],[Symbol]],"Industry")</f>
        <v>Machinery, Equipment &amp; Components</v>
      </c>
      <c r="E271" s="8">
        <v>7.8853999999999994E-2</v>
      </c>
      <c r="F271" s="11">
        <v>556.37</v>
      </c>
      <c r="G271" s="11">
        <v>-11.05</v>
      </c>
      <c r="H271" s="13" t="s">
        <v>701</v>
      </c>
      <c r="I271" s="9" cm="1">
        <f t="array" ref="I271">_FV(Table_0[[#This Row],[Symbol]],"P/E",TRUE)</f>
        <v>20.1401</v>
      </c>
      <c r="J271" s="1" cm="1">
        <f t="array" ref="J271">_FV(Table_0[[#This Row],[Symbol]],"Market cap",TRUE)</f>
        <v>28113974971</v>
      </c>
    </row>
    <row r="272" spans="1:10" x14ac:dyDescent="0.25">
      <c r="A272">
        <v>269</v>
      </c>
      <c r="B272" t="s">
        <v>278</v>
      </c>
      <c r="C272" t="e" vm="269">
        <v>#VALUE!</v>
      </c>
      <c r="D272" t="str" cm="1">
        <f t="array" ref="D272">_FV(Table_0[[#This Row],[Symbol]],"Industry")</f>
        <v>Automobiles &amp; Auto Parts</v>
      </c>
      <c r="E272" s="8">
        <v>7.8547000000000006E-2</v>
      </c>
      <c r="F272" s="11">
        <v>89.87</v>
      </c>
      <c r="G272" s="11">
        <v>-4.2699999999999996</v>
      </c>
      <c r="H272" s="13" t="s">
        <v>782</v>
      </c>
      <c r="I272" s="9" cm="1">
        <f t="array" ref="I272">_FV(Table_0[[#This Row],[Symbol]],"P/E",TRUE)</f>
        <v>82.199700000000007</v>
      </c>
      <c r="J272" s="1" cm="1">
        <f t="array" ref="J272">_FV(Table_0[[#This Row],[Symbol]],"Market cap",TRUE)</f>
        <v>24350240552</v>
      </c>
    </row>
    <row r="273" spans="1:10" x14ac:dyDescent="0.25">
      <c r="A273">
        <v>270</v>
      </c>
      <c r="B273" t="s">
        <v>279</v>
      </c>
      <c r="C273" t="e" vm="270">
        <v>#VALUE!</v>
      </c>
      <c r="D273" t="str" cm="1">
        <f t="array" ref="D273">_FV(Table_0[[#This Row],[Symbol]],"Industry")</f>
        <v>Investment Banking &amp; Investment Services</v>
      </c>
      <c r="E273" s="8">
        <v>7.8210000000000002E-2</v>
      </c>
      <c r="F273" s="11">
        <v>107.94</v>
      </c>
      <c r="G273" s="11">
        <v>-5.12</v>
      </c>
      <c r="H273" s="13" t="s">
        <v>790</v>
      </c>
      <c r="I273" s="9" cm="1">
        <f t="array" ref="I273">_FV(Table_0[[#This Row],[Symbol]],"P/E",TRUE)</f>
        <v>12.979900000000001</v>
      </c>
      <c r="J273" s="1" cm="1">
        <f t="array" ref="J273">_FV(Table_0[[#This Row],[Symbol]],"Market cap",TRUE)</f>
        <v>24119673188</v>
      </c>
    </row>
    <row r="274" spans="1:10" x14ac:dyDescent="0.25">
      <c r="A274">
        <v>271</v>
      </c>
      <c r="B274" t="s">
        <v>275</v>
      </c>
      <c r="C274" t="e" vm="271">
        <v>#VALUE!</v>
      </c>
      <c r="D274" t="str" cm="1">
        <f t="array" ref="D274">_FV(Table_0[[#This Row],[Symbol]],"Industry")</f>
        <v>Healthcare Equipment &amp; Supplies</v>
      </c>
      <c r="E274" s="8">
        <v>7.7536999999999995E-2</v>
      </c>
      <c r="F274" s="11">
        <v>49.38</v>
      </c>
      <c r="G274" s="11">
        <v>-0.95</v>
      </c>
      <c r="H274" s="13" t="s">
        <v>646</v>
      </c>
      <c r="I274" s="9" cm="1">
        <f t="array" ref="I274">_FV(Table_0[[#This Row],[Symbol]],"P/E",TRUE)</f>
        <v>28.8703</v>
      </c>
      <c r="J274" s="1" cm="1">
        <f t="array" ref="J274">_FV(Table_0[[#This Row],[Symbol]],"Market cap",TRUE)</f>
        <v>24893485104</v>
      </c>
    </row>
    <row r="275" spans="1:10" x14ac:dyDescent="0.25">
      <c r="A275">
        <v>272</v>
      </c>
      <c r="B275" t="s">
        <v>288</v>
      </c>
      <c r="C275" t="e" vm="272">
        <v>#VALUE!</v>
      </c>
      <c r="D275" t="str" cm="1">
        <f t="array" ref="D275">_FV(Table_0[[#This Row],[Symbol]],"Industry")</f>
        <v>Automobiles &amp; Auto Parts</v>
      </c>
      <c r="E275" s="8">
        <v>7.7477000000000004E-2</v>
      </c>
      <c r="F275" s="11">
        <v>174.41</v>
      </c>
      <c r="G275" s="11">
        <v>-3.55</v>
      </c>
      <c r="H275" s="13" t="s">
        <v>659</v>
      </c>
      <c r="I275" s="9" cm="1">
        <f t="array" ref="I275">_FV(Table_0[[#This Row],[Symbol]],"P/E",TRUE)</f>
        <v>21.371700000000001</v>
      </c>
      <c r="J275" s="1" cm="1">
        <f t="array" ref="J275">_FV(Table_0[[#This Row],[Symbol]],"Market cap",TRUE)</f>
        <v>24583772800</v>
      </c>
    </row>
    <row r="276" spans="1:10" x14ac:dyDescent="0.25">
      <c r="A276">
        <v>273</v>
      </c>
      <c r="B276" t="s">
        <v>297</v>
      </c>
      <c r="C276" t="e" vm="273">
        <v>#VALUE!</v>
      </c>
      <c r="D276" t="str" cm="1">
        <f t="array" ref="D276">_FV(Table_0[[#This Row],[Symbol]],"Industry")</f>
        <v>Professional &amp; Commercial Services</v>
      </c>
      <c r="E276" s="8">
        <v>7.7234999999999998E-2</v>
      </c>
      <c r="F276" s="11">
        <v>346.73</v>
      </c>
      <c r="G276" s="11">
        <v>-13.1</v>
      </c>
      <c r="H276" s="13" t="s">
        <v>793</v>
      </c>
      <c r="I276" s="9" cm="1">
        <f t="array" ref="I276">_FV(Table_0[[#This Row],[Symbol]],"P/E",TRUE)</f>
        <v>13.2402</v>
      </c>
      <c r="J276" s="1" cm="1">
        <f t="array" ref="J276">_FV(Table_0[[#This Row],[Symbol]],"Market cap",TRUE)</f>
        <v>24031329270</v>
      </c>
    </row>
    <row r="277" spans="1:10" x14ac:dyDescent="0.25">
      <c r="A277">
        <v>274</v>
      </c>
      <c r="B277" t="s">
        <v>265</v>
      </c>
      <c r="C277" t="e" vm="274">
        <v>#VALUE!</v>
      </c>
      <c r="D277" t="str" cm="1">
        <f t="array" ref="D277">_FV(Table_0[[#This Row],[Symbol]],"Industry")</f>
        <v>Banking Services</v>
      </c>
      <c r="E277" s="8">
        <v>7.7082999999999999E-2</v>
      </c>
      <c r="F277" s="11">
        <v>142.25</v>
      </c>
      <c r="G277" s="11">
        <v>-0.76</v>
      </c>
      <c r="H277" s="13" t="s">
        <v>616</v>
      </c>
      <c r="I277" s="9" cm="1">
        <f t="array" ref="I277">_FV(Table_0[[#This Row],[Symbol]],"P/E",TRUE)</f>
        <v>13.487500000000001</v>
      </c>
      <c r="J277" s="1" cm="1">
        <f t="array" ref="J277">_FV(Table_0[[#This Row],[Symbol]],"Market cap",TRUE)</f>
        <v>24554241925</v>
      </c>
    </row>
    <row r="278" spans="1:10" x14ac:dyDescent="0.25">
      <c r="A278">
        <v>275</v>
      </c>
      <c r="B278" t="s">
        <v>303</v>
      </c>
      <c r="C278" t="e" vm="275">
        <v>#VALUE!</v>
      </c>
      <c r="D278" t="str" cm="1">
        <f t="array" ref="D278">_FV(Table_0[[#This Row],[Symbol]],"Industry")</f>
        <v>Electrical Utilities &amp; IPPs</v>
      </c>
      <c r="E278" s="8">
        <v>7.6694999999999999E-2</v>
      </c>
      <c r="F278" s="11">
        <v>63.82</v>
      </c>
      <c r="G278" s="11">
        <v>-1.4</v>
      </c>
      <c r="H278" s="13" t="s">
        <v>625</v>
      </c>
      <c r="I278" s="9" cm="1">
        <f t="array" ref="I278">_FV(Table_0[[#This Row],[Symbol]],"P/E",TRUE)</f>
        <v>34.438899999999997</v>
      </c>
      <c r="J278" s="1" cm="1">
        <f t="array" ref="J278">_FV(Table_0[[#This Row],[Symbol]],"Market cap",TRUE)</f>
        <v>24367424607</v>
      </c>
    </row>
    <row r="279" spans="1:10" x14ac:dyDescent="0.25">
      <c r="A279">
        <v>276</v>
      </c>
      <c r="B279" t="s">
        <v>301</v>
      </c>
      <c r="C279" t="e" vm="276">
        <v>#VALUE!</v>
      </c>
      <c r="D279" t="str" cm="1">
        <f t="array" ref="D279">_FV(Table_0[[#This Row],[Symbol]],"Industry")</f>
        <v>Real Estate Operations</v>
      </c>
      <c r="E279" s="8">
        <v>7.5476000000000001E-2</v>
      </c>
      <c r="F279" s="11">
        <v>74.83</v>
      </c>
      <c r="G279" s="11">
        <v>-1.79</v>
      </c>
      <c r="H279" s="13" t="s">
        <v>742</v>
      </c>
      <c r="I279" s="9" cm="1">
        <f t="array" ref="I279">_FV(Table_0[[#This Row],[Symbol]],"P/E",TRUE)</f>
        <v>12.6541</v>
      </c>
      <c r="J279" s="1" cm="1">
        <f t="array" ref="J279">_FV(Table_0[[#This Row],[Symbol]],"Market cap",TRUE)</f>
        <v>23642426255</v>
      </c>
    </row>
    <row r="280" spans="1:10" x14ac:dyDescent="0.25">
      <c r="A280">
        <v>277</v>
      </c>
      <c r="B280" t="s">
        <v>299</v>
      </c>
      <c r="C280" t="e" vm="277">
        <v>#VALUE!</v>
      </c>
      <c r="D280" t="str" cm="1">
        <f t="array" ref="D280">_FV(Table_0[[#This Row],[Symbol]],"Industry")</f>
        <v>Insurance</v>
      </c>
      <c r="E280" s="8">
        <v>7.5382000000000005E-2</v>
      </c>
      <c r="F280" s="11">
        <v>74.58</v>
      </c>
      <c r="G280" s="11">
        <v>-1.44</v>
      </c>
      <c r="H280" s="13" t="s">
        <v>646</v>
      </c>
      <c r="I280" s="9" cm="1">
        <f t="array" ref="I280">_FV(Table_0[[#This Row],[Symbol]],"P/E",TRUE)</f>
        <v>13.25</v>
      </c>
      <c r="J280" s="1" cm="1">
        <f t="array" ref="J280">_FV(Table_0[[#This Row],[Symbol]],"Market cap",TRUE)</f>
        <v>23723815962</v>
      </c>
    </row>
    <row r="281" spans="1:10" x14ac:dyDescent="0.25">
      <c r="A281">
        <v>278</v>
      </c>
      <c r="B281" t="s">
        <v>293</v>
      </c>
      <c r="C281" t="e" vm="278">
        <v>#VALUE!</v>
      </c>
      <c r="D281" t="str" cm="1">
        <f t="array" ref="D281">_FV(Table_0[[#This Row],[Symbol]],"Industry")</f>
        <v>Software &amp; IT Services</v>
      </c>
      <c r="E281" s="8">
        <v>7.4818999999999997E-2</v>
      </c>
      <c r="F281" s="11">
        <v>175.65</v>
      </c>
      <c r="G281" s="11">
        <v>-5.44</v>
      </c>
      <c r="H281" s="13" t="s">
        <v>805</v>
      </c>
      <c r="I281" s="9" cm="1">
        <f t="array" ref="I281">_FV(Table_0[[#This Row],[Symbol]],"P/E",TRUE)</f>
        <v>23.807200000000002</v>
      </c>
      <c r="J281" s="1" cm="1">
        <f t="array" ref="J281">_FV(Table_0[[#This Row],[Symbol]],"Market cap",TRUE)</f>
        <v>23781429150</v>
      </c>
    </row>
    <row r="282" spans="1:10" x14ac:dyDescent="0.25">
      <c r="A282">
        <v>279</v>
      </c>
      <c r="B282" t="s">
        <v>290</v>
      </c>
      <c r="C282" t="e" vm="279">
        <v>#VALUE!</v>
      </c>
      <c r="D282" t="str" cm="1">
        <f t="array" ref="D282">_FV(Table_0[[#This Row],[Symbol]],"Industry")</f>
        <v>Oil &amp; Gas</v>
      </c>
      <c r="E282" s="8">
        <v>7.4718999999999994E-2</v>
      </c>
      <c r="F282" s="11">
        <v>131.91</v>
      </c>
      <c r="G282" s="11">
        <v>-5.0999999999999996</v>
      </c>
      <c r="H282" s="13" t="s">
        <v>843</v>
      </c>
      <c r="I282" s="9" cm="1">
        <f t="array" ref="I282">_FV(Table_0[[#This Row],[Symbol]],"P/E",TRUE)</f>
        <v>5.5746000000000002</v>
      </c>
      <c r="J282" s="1" cm="1">
        <f t="array" ref="J282">_FV(Table_0[[#This Row],[Symbol]],"Market cap",TRUE)</f>
        <v>23215095333</v>
      </c>
    </row>
    <row r="283" spans="1:10" x14ac:dyDescent="0.25">
      <c r="A283">
        <v>280</v>
      </c>
      <c r="B283" t="s">
        <v>284</v>
      </c>
      <c r="C283" t="e" vm="280">
        <v>#VALUE!</v>
      </c>
      <c r="D283" t="str" cm="1">
        <f t="array" ref="D283">_FV(Table_0[[#This Row],[Symbol]],"Industry")</f>
        <v>Computers, Phones &amp; Household Electronics</v>
      </c>
      <c r="E283" s="8">
        <v>7.4534000000000003E-2</v>
      </c>
      <c r="F283" s="11">
        <v>26.14</v>
      </c>
      <c r="G283" s="11">
        <v>-0.55000000000000004</v>
      </c>
      <c r="H283" s="13" t="s">
        <v>672</v>
      </c>
      <c r="I283" s="9" cm="1">
        <f t="array" ref="I283">_FV(Table_0[[#This Row],[Symbol]],"P/E",TRUE)</f>
        <v>8.8568999999999996</v>
      </c>
      <c r="J283" s="1" cm="1">
        <f t="array" ref="J283">_FV(Table_0[[#This Row],[Symbol]],"Market cap",TRUE)</f>
        <v>25663469754</v>
      </c>
    </row>
    <row r="284" spans="1:10" x14ac:dyDescent="0.25">
      <c r="A284">
        <v>281</v>
      </c>
      <c r="B284" t="s">
        <v>292</v>
      </c>
      <c r="C284" t="e" vm="281">
        <v>#VALUE!</v>
      </c>
      <c r="D284" t="str" cm="1">
        <f t="array" ref="D284">_FV(Table_0[[#This Row],[Symbol]],"Industry")</f>
        <v>Electronic Equipment &amp; Parts</v>
      </c>
      <c r="E284" s="8">
        <v>7.4497999999999995E-2</v>
      </c>
      <c r="F284" s="11">
        <v>31.09</v>
      </c>
      <c r="G284" s="11">
        <v>-0.95</v>
      </c>
      <c r="H284" s="13" t="s">
        <v>750</v>
      </c>
      <c r="I284" s="9" cm="1">
        <f t="array" ref="I284">_FV(Table_0[[#This Row],[Symbol]],"P/E",TRUE)</f>
        <v>14.939399999999999</v>
      </c>
      <c r="J284" s="1" cm="1">
        <f t="array" ref="J284">_FV(Table_0[[#This Row],[Symbol]],"Market cap",TRUE)</f>
        <v>26292047369</v>
      </c>
    </row>
    <row r="285" spans="1:10" x14ac:dyDescent="0.25">
      <c r="A285">
        <v>282</v>
      </c>
      <c r="B285" t="s">
        <v>309</v>
      </c>
      <c r="C285" t="e" vm="282">
        <v>#VALUE!</v>
      </c>
      <c r="D285" t="str" cm="1">
        <f t="array" ref="D285">_FV(Table_0[[#This Row],[Symbol]],"Industry")</f>
        <v>Professional &amp; Commercial Services</v>
      </c>
      <c r="E285" s="8">
        <v>7.4285000000000004E-2</v>
      </c>
      <c r="F285" s="11">
        <v>191.22</v>
      </c>
      <c r="G285" s="11">
        <v>-5.8</v>
      </c>
      <c r="H285" s="13" t="s">
        <v>668</v>
      </c>
      <c r="I285" s="9" cm="1">
        <f t="array" ref="I285">_FV(Table_0[[#This Row],[Symbol]],"P/E",TRUE)</f>
        <v>34.251100000000001</v>
      </c>
      <c r="J285" s="1" cm="1">
        <f t="array" ref="J285">_FV(Table_0[[#This Row],[Symbol]],"Market cap",TRUE)</f>
        <v>23400158174</v>
      </c>
    </row>
    <row r="286" spans="1:10" x14ac:dyDescent="0.25">
      <c r="A286">
        <v>283</v>
      </c>
      <c r="B286" t="s">
        <v>294</v>
      </c>
      <c r="C286" t="e" vm="283">
        <v>#VALUE!</v>
      </c>
      <c r="D286" t="str" cm="1">
        <f t="array" ref="D286">_FV(Table_0[[#This Row],[Symbol]],"Industry")</f>
        <v>Specialty Retailers</v>
      </c>
      <c r="E286" s="8">
        <v>7.2977E-2</v>
      </c>
      <c r="F286" s="11">
        <v>209.56</v>
      </c>
      <c r="G286" s="11">
        <v>-4.6900000000000004</v>
      </c>
      <c r="H286" s="13" t="s">
        <v>704</v>
      </c>
      <c r="I286" s="9" cm="1">
        <f t="array" ref="I286">_FV(Table_0[[#This Row],[Symbol]],"P/E",TRUE)</f>
        <v>23.271599999999999</v>
      </c>
      <c r="J286" s="1" cm="1">
        <f t="array" ref="J286">_FV(Table_0[[#This Row],[Symbol]],"Market cap",TRUE)</f>
        <v>23666750000</v>
      </c>
    </row>
    <row r="287" spans="1:10" x14ac:dyDescent="0.25">
      <c r="A287">
        <v>284</v>
      </c>
      <c r="B287" t="s">
        <v>304</v>
      </c>
      <c r="C287" t="e" vm="284">
        <v>#VALUE!</v>
      </c>
      <c r="D287" t="str" cm="1">
        <f t="array" ref="D287">_FV(Table_0[[#This Row],[Symbol]],"Industry")</f>
        <v>Specialty Retailers</v>
      </c>
      <c r="E287" s="8">
        <v>7.2270000000000001E-2</v>
      </c>
      <c r="F287" s="11">
        <v>450.09</v>
      </c>
      <c r="G287" s="11">
        <v>-2.2000000000000002</v>
      </c>
      <c r="H287" s="13" t="s">
        <v>613</v>
      </c>
      <c r="I287" s="9" cm="1">
        <f t="array" ref="I287">_FV(Table_0[[#This Row],[Symbol]],"P/E",TRUE)</f>
        <v>19.8843</v>
      </c>
      <c r="J287" s="1" cm="1">
        <f t="array" ref="J287">_FV(Table_0[[#This Row],[Symbol]],"Market cap",TRUE)</f>
        <v>22900925769</v>
      </c>
    </row>
    <row r="288" spans="1:10" x14ac:dyDescent="0.25">
      <c r="A288">
        <v>285</v>
      </c>
      <c r="B288" t="s">
        <v>331</v>
      </c>
      <c r="C288" t="e" vm="285">
        <v>#VALUE!</v>
      </c>
      <c r="D288" t="str" cm="1">
        <f t="array" ref="D288">_FV(Table_0[[#This Row],[Symbol]],"Industry")</f>
        <v>Insurance</v>
      </c>
      <c r="E288" s="8">
        <v>7.2165999999999994E-2</v>
      </c>
      <c r="F288" s="11">
        <v>62.8</v>
      </c>
      <c r="G288" s="11">
        <v>-0.56000000000000005</v>
      </c>
      <c r="H288" s="13" t="s">
        <v>688</v>
      </c>
      <c r="I288" s="9" cm="1">
        <f t="array" ref="I288">_FV(Table_0[[#This Row],[Symbol]],"P/E",TRUE)</f>
        <v>20.293500000000002</v>
      </c>
      <c r="J288" s="1" cm="1">
        <f t="array" ref="J288">_FV(Table_0[[#This Row],[Symbol]],"Market cap",TRUE)</f>
        <v>23228024400</v>
      </c>
    </row>
    <row r="289" spans="1:10" x14ac:dyDescent="0.25">
      <c r="A289">
        <v>286</v>
      </c>
      <c r="B289" t="s">
        <v>305</v>
      </c>
      <c r="C289" t="e" vm="286">
        <v>#VALUE!</v>
      </c>
      <c r="D289" t="str" cm="1">
        <f t="array" ref="D289">_FV(Table_0[[#This Row],[Symbol]],"Industry")</f>
        <v>Construction Materials</v>
      </c>
      <c r="E289" s="8">
        <v>7.2016999999999998E-2</v>
      </c>
      <c r="F289" s="11">
        <v>171.95</v>
      </c>
      <c r="G289" s="11">
        <v>-4.0199999999999996</v>
      </c>
      <c r="H289" s="13" t="s">
        <v>706</v>
      </c>
      <c r="I289" s="9" cm="1">
        <f t="array" ref="I289">_FV(Table_0[[#This Row],[Symbol]],"P/E",TRUE)</f>
        <v>38.473599999999998</v>
      </c>
      <c r="J289" s="1" cm="1">
        <f t="array" ref="J289">_FV(Table_0[[#This Row],[Symbol]],"Market cap",TRUE)</f>
        <v>22855999593</v>
      </c>
    </row>
    <row r="290" spans="1:10" x14ac:dyDescent="0.25">
      <c r="A290">
        <v>287</v>
      </c>
      <c r="B290" t="s">
        <v>310</v>
      </c>
      <c r="C290" t="e" vm="287">
        <v>#VALUE!</v>
      </c>
      <c r="D290" t="str" cm="1">
        <f t="array" ref="D290">_FV(Table_0[[#This Row],[Symbol]],"Industry")</f>
        <v>Electrical Utilities &amp; IPPs</v>
      </c>
      <c r="E290" s="8">
        <v>7.0982000000000003E-2</v>
      </c>
      <c r="F290" s="11">
        <v>111.39</v>
      </c>
      <c r="G290" s="11">
        <v>-2.71</v>
      </c>
      <c r="H290" s="13" t="s">
        <v>830</v>
      </c>
      <c r="I290" s="9" cm="1">
        <f t="array" ref="I290">_FV(Table_0[[#This Row],[Symbol]],"P/E",TRUE)</f>
        <v>18.531600000000001</v>
      </c>
      <c r="J290" s="1" cm="1">
        <f t="array" ref="J290">_FV(Table_0[[#This Row],[Symbol]],"Market cap",TRUE)</f>
        <v>22666049343</v>
      </c>
    </row>
    <row r="291" spans="1:10" x14ac:dyDescent="0.25">
      <c r="A291">
        <v>288</v>
      </c>
      <c r="B291" t="s">
        <v>306</v>
      </c>
      <c r="C291" t="e" vm="288">
        <v>#VALUE!</v>
      </c>
      <c r="D291" t="str" cm="1">
        <f t="array" ref="D291">_FV(Table_0[[#This Row],[Symbol]],"Industry")</f>
        <v>Machinery, Equipment &amp; Components</v>
      </c>
      <c r="E291" s="8">
        <v>7.0886000000000005E-2</v>
      </c>
      <c r="F291" s="11">
        <v>63.11</v>
      </c>
      <c r="G291" s="11">
        <v>-1.97</v>
      </c>
      <c r="H291" s="13" t="s">
        <v>667</v>
      </c>
      <c r="I291" s="9" cm="1">
        <f t="array" ref="I291">_FV(Table_0[[#This Row],[Symbol]],"P/E",TRUE)</f>
        <v>33.776499999999999</v>
      </c>
      <c r="J291" s="1" cm="1">
        <f t="array" ref="J291">_FV(Table_0[[#This Row],[Symbol]],"Market cap",TRUE)</f>
        <v>22321765647</v>
      </c>
    </row>
    <row r="292" spans="1:10" x14ac:dyDescent="0.25">
      <c r="A292">
        <v>289</v>
      </c>
      <c r="B292" t="s">
        <v>308</v>
      </c>
      <c r="C292" t="e" vm="289">
        <v>#VALUE!</v>
      </c>
      <c r="D292" t="str" cm="1">
        <f t="array" ref="D292">_FV(Table_0[[#This Row],[Symbol]],"Industry")</f>
        <v>Residential &amp; Commercial REIT</v>
      </c>
      <c r="E292" s="8">
        <v>7.0885000000000004E-2</v>
      </c>
      <c r="F292" s="11">
        <v>30.57</v>
      </c>
      <c r="G292" s="11">
        <v>-0.54</v>
      </c>
      <c r="H292" s="13" t="s">
        <v>612</v>
      </c>
      <c r="I292" s="9" cm="1">
        <f t="array" ref="I292">_FV(Table_0[[#This Row],[Symbol]],"P/E",TRUE)</f>
        <v>10.170500000000001</v>
      </c>
      <c r="J292" s="1" cm="1">
        <f t="array" ref="J292">_FV(Table_0[[#This Row],[Symbol]],"Market cap",TRUE)</f>
        <v>22493303105</v>
      </c>
    </row>
    <row r="293" spans="1:10" x14ac:dyDescent="0.25">
      <c r="A293">
        <v>290</v>
      </c>
      <c r="B293" t="s">
        <v>320</v>
      </c>
      <c r="C293" t="e" vm="290">
        <v>#VALUE!</v>
      </c>
      <c r="D293" t="str" cm="1">
        <f t="array" ref="D293">_FV(Table_0[[#This Row],[Symbol]],"Industry")</f>
        <v>Homebuilding &amp; Construction Supplies</v>
      </c>
      <c r="E293" s="8">
        <v>7.0883000000000002E-2</v>
      </c>
      <c r="F293" s="11">
        <v>89.11</v>
      </c>
      <c r="G293" s="11">
        <v>-1.46</v>
      </c>
      <c r="H293" s="13" t="s">
        <v>729</v>
      </c>
      <c r="I293" s="9" cm="1">
        <f t="array" ref="I293">_FV(Table_0[[#This Row],[Symbol]],"P/E",TRUE)</f>
        <v>5.7404000000000002</v>
      </c>
      <c r="J293" s="1" cm="1">
        <f t="array" ref="J293">_FV(Table_0[[#This Row],[Symbol]],"Market cap",TRUE)</f>
        <v>25796580000</v>
      </c>
    </row>
    <row r="294" spans="1:10" x14ac:dyDescent="0.25">
      <c r="A294">
        <v>291</v>
      </c>
      <c r="B294" t="s">
        <v>314</v>
      </c>
      <c r="C294" t="e" vm="291">
        <v>#VALUE!</v>
      </c>
      <c r="D294" t="str" cm="1">
        <f t="array" ref="D294">_FV(Table_0[[#This Row],[Symbol]],"Industry")</f>
        <v>Multiline Utilities</v>
      </c>
      <c r="E294" s="8">
        <v>7.0533999999999999E-2</v>
      </c>
      <c r="F294" s="11">
        <v>87.26</v>
      </c>
      <c r="G294" s="11">
        <v>-1.34</v>
      </c>
      <c r="H294" s="13" t="s">
        <v>776</v>
      </c>
      <c r="I294" s="9" cm="1">
        <f t="array" ref="I294">_FV(Table_0[[#This Row],[Symbol]],"P/E",TRUE)</f>
        <v>22.173400000000001</v>
      </c>
      <c r="J294" s="1" cm="1">
        <f t="array" ref="J294">_FV(Table_0[[#This Row],[Symbol]],"Market cap",TRUE)</f>
        <v>22558647172</v>
      </c>
    </row>
    <row r="295" spans="1:10" x14ac:dyDescent="0.25">
      <c r="A295">
        <v>292</v>
      </c>
      <c r="B295" t="s">
        <v>307</v>
      </c>
      <c r="C295" t="e" vm="292">
        <v>#VALUE!</v>
      </c>
      <c r="D295" t="str" cm="1">
        <f t="array" ref="D295">_FV(Table_0[[#This Row],[Symbol]],"Industry")</f>
        <v>Residential &amp; Commercial REIT</v>
      </c>
      <c r="E295" s="8">
        <v>6.9949999999999998E-2</v>
      </c>
      <c r="F295" s="11">
        <v>160.03</v>
      </c>
      <c r="G295" s="11">
        <v>-2.35</v>
      </c>
      <c r="H295" s="13" t="s">
        <v>608</v>
      </c>
      <c r="I295" s="9" cm="1">
        <f t="array" ref="I295">_FV(Table_0[[#This Row],[Symbol]],"P/E",TRUE)</f>
        <v>18.499500000000001</v>
      </c>
      <c r="J295" s="1" cm="1">
        <f t="array" ref="J295">_FV(Table_0[[#This Row],[Symbol]],"Market cap",TRUE)</f>
        <v>22715130000</v>
      </c>
    </row>
    <row r="296" spans="1:10" x14ac:dyDescent="0.25">
      <c r="A296">
        <v>293</v>
      </c>
      <c r="B296" t="s">
        <v>295</v>
      </c>
      <c r="C296" t="e" vm="293">
        <v>#VALUE!</v>
      </c>
      <c r="D296" t="str" cm="1">
        <f t="array" ref="D296">_FV(Table_0[[#This Row],[Symbol]],"Industry")</f>
        <v>Software &amp; IT Services</v>
      </c>
      <c r="E296" s="8">
        <v>6.9597999999999993E-2</v>
      </c>
      <c r="F296" s="11">
        <v>39.630000000000003</v>
      </c>
      <c r="G296" s="11">
        <v>-1.65</v>
      </c>
      <c r="H296" s="13" t="s">
        <v>865</v>
      </c>
      <c r="I296" s="9" cm="1">
        <f t="array" ref="I296">_FV(Table_0[[#This Row],[Symbol]],"P/E",TRUE)</f>
        <v>253.23410000000001</v>
      </c>
      <c r="J296" s="1" cm="1">
        <f t="array" ref="J296">_FV(Table_0[[#This Row],[Symbol]],"Market cap",TRUE)</f>
        <v>21505580133</v>
      </c>
    </row>
    <row r="297" spans="1:10" x14ac:dyDescent="0.25">
      <c r="A297">
        <v>294</v>
      </c>
      <c r="B297" t="s">
        <v>324</v>
      </c>
      <c r="C297" t="e" vm="294">
        <v>#VALUE!</v>
      </c>
      <c r="D297" t="str" cm="1">
        <f t="array" ref="D297">_FV(Table_0[[#This Row],[Symbol]],"Industry")</f>
        <v>Electrical Utilities &amp; IPPs</v>
      </c>
      <c r="E297" s="8">
        <v>6.9500999999999993E-2</v>
      </c>
      <c r="F297" s="11">
        <v>41.03</v>
      </c>
      <c r="G297" s="11">
        <v>-0.7</v>
      </c>
      <c r="H297" s="13" t="s">
        <v>748</v>
      </c>
      <c r="I297" s="9" cm="1">
        <f t="array" ref="I297">_FV(Table_0[[#This Row],[Symbol]],"P/E",TRUE)</f>
        <v>18.984500000000001</v>
      </c>
      <c r="J297" s="1" cm="1">
        <f t="array" ref="J297">_FV(Table_0[[#This Row],[Symbol]],"Market cap",TRUE)</f>
        <v>23456175030</v>
      </c>
    </row>
    <row r="298" spans="1:10" x14ac:dyDescent="0.25">
      <c r="A298">
        <v>295</v>
      </c>
      <c r="B298" t="s">
        <v>316</v>
      </c>
      <c r="C298" t="e" vm="295">
        <v>#VALUE!</v>
      </c>
      <c r="D298" t="str" cm="1">
        <f t="array" ref="D298">_FV(Table_0[[#This Row],[Symbol]],"Industry")</f>
        <v>Electrical Utilities &amp; IPPs</v>
      </c>
      <c r="E298" s="8">
        <v>6.9203000000000001E-2</v>
      </c>
      <c r="F298" s="11">
        <v>115.49</v>
      </c>
      <c r="G298" s="11">
        <v>-1.94</v>
      </c>
      <c r="H298" s="13" t="s">
        <v>633</v>
      </c>
      <c r="I298" s="9" cm="1">
        <f t="array" ref="I298">_FV(Table_0[[#This Row],[Symbol]],"P/E",TRUE)</f>
        <v>20.413499999999999</v>
      </c>
      <c r="J298" s="1" cm="1">
        <f t="array" ref="J298">_FV(Table_0[[#This Row],[Symbol]],"Market cap",TRUE)</f>
        <v>22375263580</v>
      </c>
    </row>
    <row r="299" spans="1:10" x14ac:dyDescent="0.25">
      <c r="A299">
        <v>296</v>
      </c>
      <c r="B299" t="s">
        <v>318</v>
      </c>
      <c r="C299" t="e" vm="296">
        <v>#VALUE!</v>
      </c>
      <c r="D299" t="str" cm="1">
        <f t="array" ref="D299">_FV(Table_0[[#This Row],[Symbol]],"Industry")</f>
        <v>Banking Services</v>
      </c>
      <c r="E299" s="8">
        <v>6.8080000000000002E-2</v>
      </c>
      <c r="F299" s="11">
        <v>116.42</v>
      </c>
      <c r="G299" s="11">
        <v>-5.01</v>
      </c>
      <c r="H299" s="13" t="s">
        <v>788</v>
      </c>
      <c r="I299" s="9" cm="1">
        <f t="array" ref="I299">_FV(Table_0[[#This Row],[Symbol]],"P/E",TRUE)</f>
        <v>14.466699999999999</v>
      </c>
      <c r="J299" s="1" cm="1">
        <f t="array" ref="J299">_FV(Table_0[[#This Row],[Symbol]],"Market cap",TRUE)</f>
        <v>21296175068</v>
      </c>
    </row>
    <row r="300" spans="1:10" x14ac:dyDescent="0.25">
      <c r="A300">
        <v>297</v>
      </c>
      <c r="B300" t="s">
        <v>300</v>
      </c>
      <c r="C300" t="e" vm="297">
        <v>#VALUE!</v>
      </c>
      <c r="D300" t="str" cm="1">
        <f t="array" ref="D300">_FV(Table_0[[#This Row],[Symbol]],"Industry")</f>
        <v>Banking Services</v>
      </c>
      <c r="E300" s="8">
        <v>6.7616999999999997E-2</v>
      </c>
      <c r="F300" s="11">
        <v>31.41</v>
      </c>
      <c r="G300" s="11">
        <v>-0.57999999999999996</v>
      </c>
      <c r="H300" s="13" t="s">
        <v>760</v>
      </c>
      <c r="I300" s="9" cm="1">
        <f t="array" ref="I300">_FV(Table_0[[#This Row],[Symbol]],"P/E",TRUE)</f>
        <v>9.8421000000000003</v>
      </c>
      <c r="J300" s="1" cm="1">
        <f t="array" ref="J300">_FV(Table_0[[#This Row],[Symbol]],"Market cap",TRUE)</f>
        <v>21559704642</v>
      </c>
    </row>
    <row r="301" spans="1:10" x14ac:dyDescent="0.25">
      <c r="A301">
        <v>298</v>
      </c>
      <c r="B301" t="s">
        <v>311</v>
      </c>
      <c r="C301" t="e" vm="298">
        <v>#VALUE!</v>
      </c>
      <c r="D301" t="str" cm="1">
        <f t="array" ref="D301">_FV(Table_0[[#This Row],[Symbol]],"Industry")</f>
        <v>Passenger Transportation Services</v>
      </c>
      <c r="E301" s="8">
        <v>6.6919999999999993E-2</v>
      </c>
      <c r="F301" s="11">
        <v>35.299999999999997</v>
      </c>
      <c r="G301" s="11">
        <v>-1.31</v>
      </c>
      <c r="H301" s="13" t="s">
        <v>866</v>
      </c>
      <c r="I301" s="9" cm="1">
        <f t="array" ref="I301">_FV(Table_0[[#This Row],[Symbol]],"P/E",TRUE)</f>
        <v>28.751899999999999</v>
      </c>
      <c r="J301" s="1" cm="1">
        <f t="array" ref="J301">_FV(Table_0[[#This Row],[Symbol]],"Market cap",TRUE)</f>
        <v>20956476840</v>
      </c>
    </row>
    <row r="302" spans="1:10" x14ac:dyDescent="0.25">
      <c r="A302">
        <v>299</v>
      </c>
      <c r="B302" t="s">
        <v>317</v>
      </c>
      <c r="C302" t="e" vm="299">
        <v>#VALUE!</v>
      </c>
      <c r="D302" t="str" cm="1">
        <f t="array" ref="D302">_FV(Table_0[[#This Row],[Symbol]],"Industry")</f>
        <v>Residential &amp; Commercial REIT</v>
      </c>
      <c r="E302" s="8">
        <v>6.6748000000000002E-2</v>
      </c>
      <c r="F302" s="11">
        <v>144.25</v>
      </c>
      <c r="G302" s="11">
        <v>-2.64</v>
      </c>
      <c r="H302" s="13" t="s">
        <v>708</v>
      </c>
      <c r="I302" s="9" cm="1">
        <f t="array" ref="I302">_FV(Table_0[[#This Row],[Symbol]],"P/E",TRUE)</f>
        <v>44.316299999999998</v>
      </c>
      <c r="J302" s="1" cm="1">
        <f t="array" ref="J302">_FV(Table_0[[#This Row],[Symbol]],"Market cap",TRUE)</f>
        <v>23678617826</v>
      </c>
    </row>
    <row r="303" spans="1:10" x14ac:dyDescent="0.25">
      <c r="A303">
        <v>300</v>
      </c>
      <c r="B303" t="s">
        <v>326</v>
      </c>
      <c r="C303" t="e" vm="300">
        <v>#VALUE!</v>
      </c>
      <c r="D303" t="str" cm="1">
        <f t="array" ref="D303">_FV(Table_0[[#This Row],[Symbol]],"Industry")</f>
        <v>Multiline Utilities</v>
      </c>
      <c r="E303" s="8">
        <v>6.6350999999999993E-2</v>
      </c>
      <c r="F303" s="11">
        <v>28.88</v>
      </c>
      <c r="G303" s="11">
        <v>-0.52</v>
      </c>
      <c r="H303" s="13" t="s">
        <v>741</v>
      </c>
      <c r="I303" s="9" cm="1">
        <f t="array" ref="I303">_FV(Table_0[[#This Row],[Symbol]],"P/E",TRUE)</f>
        <v>30.658200000000001</v>
      </c>
      <c r="J303" s="1" cm="1">
        <f t="array" ref="J303">_FV(Table_0[[#This Row],[Symbol]],"Market cap",TRUE)</f>
        <v>21264872504</v>
      </c>
    </row>
    <row r="304" spans="1:10" x14ac:dyDescent="0.25">
      <c r="A304">
        <v>301</v>
      </c>
      <c r="B304" t="s">
        <v>325</v>
      </c>
      <c r="C304" t="e" vm="301">
        <v>#VALUE!</v>
      </c>
      <c r="D304" t="str" cm="1">
        <f t="array" ref="D304">_FV(Table_0[[#This Row],[Symbol]],"Industry")</f>
        <v>Passenger Transportation Services</v>
      </c>
      <c r="E304" s="8">
        <v>6.5520999999999996E-2</v>
      </c>
      <c r="F304" s="11">
        <v>32.35</v>
      </c>
      <c r="G304" s="11">
        <v>-1.33</v>
      </c>
      <c r="H304" s="13" t="s">
        <v>752</v>
      </c>
      <c r="I304" s="9" cm="1">
        <f t="array" ref="I304">_FV(Table_0[[#This Row],[Symbol]],"P/E",TRUE)</f>
        <v>296.10410000000002</v>
      </c>
      <c r="J304" s="1" cm="1">
        <f t="array" ref="J304">_FV(Table_0[[#This Row],[Symbol]],"Market cap",TRUE)</f>
        <v>20739238798</v>
      </c>
    </row>
    <row r="305" spans="1:10" x14ac:dyDescent="0.25">
      <c r="A305">
        <v>302</v>
      </c>
      <c r="B305" t="s">
        <v>336</v>
      </c>
      <c r="C305" t="e" vm="302">
        <v>#VALUE!</v>
      </c>
      <c r="D305" t="str" cm="1">
        <f t="array" ref="D305">_FV(Table_0[[#This Row],[Symbol]],"Industry")</f>
        <v>Food &amp; Tobacco</v>
      </c>
      <c r="E305" s="8">
        <v>6.5016000000000004E-2</v>
      </c>
      <c r="F305" s="11">
        <v>83.88</v>
      </c>
      <c r="G305" s="11">
        <v>-0.37</v>
      </c>
      <c r="H305" s="13" t="s">
        <v>461</v>
      </c>
      <c r="I305" s="9" cm="1">
        <f t="array" ref="I305">_FV(Table_0[[#This Row],[Symbol]],"P/E",TRUE)</f>
        <v>32.881900000000002</v>
      </c>
      <c r="J305" s="1" cm="1">
        <f t="array" ref="J305">_FV(Table_0[[#This Row],[Symbol]],"Market cap",TRUE)</f>
        <v>22553130000</v>
      </c>
    </row>
    <row r="306" spans="1:10" x14ac:dyDescent="0.25">
      <c r="A306">
        <v>303</v>
      </c>
      <c r="B306" t="s">
        <v>328</v>
      </c>
      <c r="C306" t="e" vm="303">
        <v>#VALUE!</v>
      </c>
      <c r="D306" t="str" cm="1">
        <f t="array" ref="D306">_FV(Table_0[[#This Row],[Symbol]],"Industry")</f>
        <v>Machinery, Equipment &amp; Components</v>
      </c>
      <c r="E306" s="8">
        <v>6.4932000000000004E-2</v>
      </c>
      <c r="F306" s="11">
        <v>51.09</v>
      </c>
      <c r="G306" s="11">
        <v>-1.63</v>
      </c>
      <c r="H306" s="13" t="s">
        <v>832</v>
      </c>
      <c r="I306" s="9" cm="1">
        <f t="array" ref="I306">_FV(Table_0[[#This Row],[Symbol]],"P/E",TRUE)</f>
        <v>39.408900000000003</v>
      </c>
      <c r="J306" s="1" cm="1">
        <f t="array" ref="J306">_FV(Table_0[[#This Row],[Symbol]],"Market cap",TRUE)</f>
        <v>20687659122</v>
      </c>
    </row>
    <row r="307" spans="1:10" x14ac:dyDescent="0.25">
      <c r="A307">
        <v>304</v>
      </c>
      <c r="B307" t="s">
        <v>315</v>
      </c>
      <c r="C307" t="e" vm="304">
        <v>#VALUE!</v>
      </c>
      <c r="D307" t="str" cm="1">
        <f t="array" ref="D307">_FV(Table_0[[#This Row],[Symbol]],"Industry")</f>
        <v>Construction Materials</v>
      </c>
      <c r="E307" s="8">
        <v>6.4909999999999995E-2</v>
      </c>
      <c r="F307" s="11">
        <v>333.85</v>
      </c>
      <c r="G307" s="11">
        <v>-8.2799999999999994</v>
      </c>
      <c r="H307" s="13" t="s">
        <v>714</v>
      </c>
      <c r="I307" s="9" cm="1">
        <f t="array" ref="I307">_FV(Table_0[[#This Row],[Symbol]],"P/E",TRUE)</f>
        <v>25.928000000000001</v>
      </c>
      <c r="J307" s="1" cm="1">
        <f t="array" ref="J307">_FV(Table_0[[#This Row],[Symbol]],"Market cap",TRUE)</f>
        <v>20728976856</v>
      </c>
    </row>
    <row r="308" spans="1:10" x14ac:dyDescent="0.25">
      <c r="A308">
        <v>305</v>
      </c>
      <c r="B308" t="s">
        <v>327</v>
      </c>
      <c r="C308" t="e" vm="305">
        <v>#VALUE!</v>
      </c>
      <c r="D308" t="str" cm="1">
        <f t="array" ref="D308">_FV(Table_0[[#This Row],[Symbol]],"Industry")</f>
        <v>Pharmaceuticals</v>
      </c>
      <c r="E308" s="8">
        <v>6.4576999999999996E-2</v>
      </c>
      <c r="F308" s="11">
        <v>80.16</v>
      </c>
      <c r="G308" s="11">
        <v>0.16</v>
      </c>
      <c r="H308" s="13" t="s">
        <v>319</v>
      </c>
      <c r="I308" s="9" cm="1">
        <f t="array" ref="I308">_FV(Table_0[[#This Row],[Symbol]],"P/E",TRUE)</f>
        <v>31.646599999999999</v>
      </c>
      <c r="J308" s="1" cm="1">
        <f t="array" ref="J308">_FV(Table_0[[#This Row],[Symbol]],"Market cap",TRUE)</f>
        <v>20970720000</v>
      </c>
    </row>
    <row r="309" spans="1:10" x14ac:dyDescent="0.25">
      <c r="A309">
        <v>306</v>
      </c>
      <c r="B309" t="s">
        <v>323</v>
      </c>
      <c r="C309" t="e" vm="306">
        <v>#VALUE!</v>
      </c>
      <c r="D309" t="str" cm="1">
        <f t="array" ref="D309">_FV(Table_0[[#This Row],[Symbol]],"Industry")</f>
        <v>Healthcare Providers &amp; Services</v>
      </c>
      <c r="E309" s="8">
        <v>6.4365000000000006E-2</v>
      </c>
      <c r="F309" s="11">
        <v>229.39</v>
      </c>
      <c r="G309" s="11">
        <v>-2.54</v>
      </c>
      <c r="H309" s="13" t="s">
        <v>730</v>
      </c>
      <c r="I309" s="9" cm="1">
        <f t="array" ref="I309">_FV(Table_0[[#This Row],[Symbol]],"P/E",TRUE)</f>
        <v>12.3825</v>
      </c>
      <c r="J309" s="1" cm="1">
        <f t="array" ref="J309">_FV(Table_0[[#This Row],[Symbol]],"Market cap",TRUE)</f>
        <v>20332814000</v>
      </c>
    </row>
    <row r="310" spans="1:10" x14ac:dyDescent="0.25">
      <c r="A310">
        <v>307</v>
      </c>
      <c r="B310" t="s">
        <v>329</v>
      </c>
      <c r="C310" t="e" vm="307">
        <v>#VALUE!</v>
      </c>
      <c r="D310" t="str" cm="1">
        <f t="array" ref="D310">_FV(Table_0[[#This Row],[Symbol]],"Industry")</f>
        <v>Chemicals</v>
      </c>
      <c r="E310" s="8">
        <v>6.4265000000000003E-2</v>
      </c>
      <c r="F310" s="11">
        <v>80.180000000000007</v>
      </c>
      <c r="G310" s="11">
        <v>-2.12</v>
      </c>
      <c r="H310" s="13" t="s">
        <v>737</v>
      </c>
      <c r="I310" s="9" cm="1">
        <f t="array" ref="I310">_FV(Table_0[[#This Row],[Symbol]],"P/E",TRUE)</f>
        <v>6.3625999999999996</v>
      </c>
      <c r="J310" s="1" cm="1">
        <f t="array" ref="J310">_FV(Table_0[[#This Row],[Symbol]],"Market cap",TRUE)</f>
        <v>26108564392</v>
      </c>
    </row>
    <row r="311" spans="1:10" x14ac:dyDescent="0.25">
      <c r="A311">
        <v>308</v>
      </c>
      <c r="B311" t="s">
        <v>333</v>
      </c>
      <c r="C311" t="e" vm="308">
        <v>#VALUE!</v>
      </c>
      <c r="D311" t="str" cm="1">
        <f t="array" ref="D311">_FV(Table_0[[#This Row],[Symbol]],"Industry")</f>
        <v>Software &amp; IT Services</v>
      </c>
      <c r="E311" s="8">
        <v>6.4093999999999998E-2</v>
      </c>
      <c r="F311" s="11">
        <v>232.6</v>
      </c>
      <c r="G311" s="11">
        <v>-9.3000000000000007</v>
      </c>
      <c r="H311" s="13" t="s">
        <v>733</v>
      </c>
      <c r="I311" s="9" cm="1">
        <f t="array" ref="I311">_FV(Table_0[[#This Row],[Symbol]],"P/E",TRUE)</f>
        <v>45.282200000000003</v>
      </c>
      <c r="J311" s="1" cm="1">
        <f t="array" ref="J311">_FV(Table_0[[#This Row],[Symbol]],"Market cap",TRUE)</f>
        <v>20264918064</v>
      </c>
    </row>
    <row r="312" spans="1:10" x14ac:dyDescent="0.25">
      <c r="A312">
        <v>309</v>
      </c>
      <c r="B312" t="s">
        <v>312</v>
      </c>
      <c r="C312" t="e" vm="309">
        <v>#VALUE!</v>
      </c>
      <c r="D312" t="str" cm="1">
        <f t="array" ref="D312">_FV(Table_0[[#This Row],[Symbol]],"Industry")</f>
        <v>Investment Banking &amp; Investment Services</v>
      </c>
      <c r="E312" s="8">
        <v>6.3992999999999994E-2</v>
      </c>
      <c r="F312" s="11">
        <v>60.3</v>
      </c>
      <c r="G312" s="11">
        <v>-1.21</v>
      </c>
      <c r="H312" s="13" t="s">
        <v>789</v>
      </c>
      <c r="I312" s="9" cm="1">
        <f t="array" ref="I312">_FV(Table_0[[#This Row],[Symbol]],"P/E",TRUE)</f>
        <v>26.915299999999998</v>
      </c>
      <c r="J312" s="1" cm="1">
        <f t="array" ref="J312">_FV(Table_0[[#This Row],[Symbol]],"Market cap",TRUE)</f>
        <v>29624153850</v>
      </c>
    </row>
    <row r="313" spans="1:10" x14ac:dyDescent="0.25">
      <c r="A313">
        <v>310</v>
      </c>
      <c r="B313" t="s">
        <v>344</v>
      </c>
      <c r="C313" t="e" vm="310">
        <v>#VALUE!</v>
      </c>
      <c r="D313" t="str" cm="1">
        <f t="array" ref="D313">_FV(Table_0[[#This Row],[Symbol]],"Industry")</f>
        <v>Healthcare Equipment &amp; Supplies</v>
      </c>
      <c r="E313" s="8">
        <v>6.3672000000000006E-2</v>
      </c>
      <c r="F313" s="11">
        <v>341.42</v>
      </c>
      <c r="G313" s="11">
        <v>-5.36</v>
      </c>
      <c r="H313" s="13" t="s">
        <v>648</v>
      </c>
      <c r="I313" s="9" cm="1">
        <f t="array" ref="I313">_FV(Table_0[[#This Row],[Symbol]],"P/E",TRUE)</f>
        <v>30.243600000000001</v>
      </c>
      <c r="J313" s="1" cm="1">
        <f t="array" ref="J313">_FV(Table_0[[#This Row],[Symbol]],"Market cap",TRUE)</f>
        <v>20282935963</v>
      </c>
    </row>
    <row r="314" spans="1:10" x14ac:dyDescent="0.25">
      <c r="A314">
        <v>311</v>
      </c>
      <c r="B314" t="s">
        <v>313</v>
      </c>
      <c r="C314" t="e" vm="311">
        <v>#VALUE!</v>
      </c>
      <c r="D314" t="str" cm="1">
        <f t="array" ref="D314">_FV(Table_0[[#This Row],[Symbol]],"Industry")</f>
        <v>Investment Banking &amp; Investment Services</v>
      </c>
      <c r="E314" s="8">
        <v>6.3478000000000007E-2</v>
      </c>
      <c r="F314" s="11">
        <v>104.49</v>
      </c>
      <c r="G314" s="11">
        <v>-2.25</v>
      </c>
      <c r="H314" s="13" t="s">
        <v>757</v>
      </c>
      <c r="I314" s="9" cm="1">
        <f t="array" ref="I314">_FV(Table_0[[#This Row],[Symbol]],"P/E",TRUE)</f>
        <v>15.2972</v>
      </c>
      <c r="J314" s="1" cm="1">
        <f t="array" ref="J314">_FV(Table_0[[#This Row],[Symbol]],"Market cap",TRUE)</f>
        <v>22471995564</v>
      </c>
    </row>
    <row r="315" spans="1:10" x14ac:dyDescent="0.25">
      <c r="A315">
        <v>312</v>
      </c>
      <c r="B315" t="s">
        <v>337</v>
      </c>
      <c r="C315" t="e" vm="312">
        <v>#VALUE!</v>
      </c>
      <c r="D315" t="str" cm="1">
        <f t="array" ref="D315">_FV(Table_0[[#This Row],[Symbol]],"Industry")</f>
        <v>Construction &amp; Engineering</v>
      </c>
      <c r="E315" s="8">
        <v>6.2939999999999996E-2</v>
      </c>
      <c r="F315" s="11">
        <v>141.43</v>
      </c>
      <c r="G315" s="11">
        <v>-3.28</v>
      </c>
      <c r="H315" s="13" t="s">
        <v>700</v>
      </c>
      <c r="I315" s="9" cm="1">
        <f t="array" ref="I315">_FV(Table_0[[#This Row],[Symbol]],"P/E",TRUE)</f>
        <v>49.407800000000002</v>
      </c>
      <c r="J315" s="1" cm="1">
        <f t="array" ref="J315">_FV(Table_0[[#This Row],[Symbol]],"Market cap",TRUE)</f>
        <v>20210516716</v>
      </c>
    </row>
    <row r="316" spans="1:10" x14ac:dyDescent="0.25">
      <c r="A316">
        <v>313</v>
      </c>
      <c r="B316" t="s">
        <v>341</v>
      </c>
      <c r="C316" t="e" vm="313">
        <v>#VALUE!</v>
      </c>
      <c r="D316" t="str" cm="1">
        <f t="array" ref="D316">_FV(Table_0[[#This Row],[Symbol]],"Industry")</f>
        <v>Computers, Phones &amp; Household Electronics</v>
      </c>
      <c r="E316" s="8">
        <v>6.2667E-2</v>
      </c>
      <c r="F316" s="11">
        <v>15.46</v>
      </c>
      <c r="G316" s="11">
        <v>-0.33</v>
      </c>
      <c r="H316" s="13" t="s">
        <v>672</v>
      </c>
      <c r="I316" s="9" cm="1">
        <f t="array" ref="I316">_FV(Table_0[[#This Row],[Symbol]],"P/E",TRUE)</f>
        <v>24.2956</v>
      </c>
      <c r="J316" s="1" cm="1">
        <f t="array" ref="J316">_FV(Table_0[[#This Row],[Symbol]],"Market cap",TRUE)</f>
        <v>19810481735</v>
      </c>
    </row>
    <row r="317" spans="1:10" x14ac:dyDescent="0.25">
      <c r="A317">
        <v>314</v>
      </c>
      <c r="B317" t="s">
        <v>321</v>
      </c>
      <c r="C317" t="e" vm="314">
        <v>#VALUE!</v>
      </c>
      <c r="D317" t="str" cm="1">
        <f t="array" ref="D317">_FV(Table_0[[#This Row],[Symbol]],"Industry")</f>
        <v>Banking Services</v>
      </c>
      <c r="E317" s="8">
        <v>6.1665999999999999E-2</v>
      </c>
      <c r="F317" s="11">
        <v>13.69</v>
      </c>
      <c r="G317" s="11">
        <v>-0.32</v>
      </c>
      <c r="H317" s="13" t="s">
        <v>691</v>
      </c>
      <c r="I317" s="9" cm="1">
        <f t="array" ref="I317">_FV(Table_0[[#This Row],[Symbol]],"P/E",TRUE)</f>
        <v>10.927300000000001</v>
      </c>
      <c r="J317" s="1" cm="1">
        <f t="array" ref="J317">_FV(Table_0[[#This Row],[Symbol]],"Market cap",TRUE)</f>
        <v>19743814790</v>
      </c>
    </row>
    <row r="318" spans="1:10" x14ac:dyDescent="0.25">
      <c r="A318">
        <v>315</v>
      </c>
      <c r="B318" t="s">
        <v>335</v>
      </c>
      <c r="C318" t="e" vm="315">
        <v>#VALUE!</v>
      </c>
      <c r="D318" t="str" cm="1">
        <f t="array" ref="D318">_FV(Table_0[[#This Row],[Symbol]],"Industry")</f>
        <v>Investment Banking &amp; Investment Services</v>
      </c>
      <c r="E318" s="8">
        <v>6.1265E-2</v>
      </c>
      <c r="F318" s="11">
        <v>84.22</v>
      </c>
      <c r="G318" s="11">
        <v>-2</v>
      </c>
      <c r="H318" s="13" t="s">
        <v>647</v>
      </c>
      <c r="I318" s="9" cm="1">
        <f t="array" ref="I318">_FV(Table_0[[#This Row],[Symbol]],"P/E",TRUE)</f>
        <v>4.1811999999999996</v>
      </c>
      <c r="J318" s="1" cm="1">
        <f t="array" ref="J318">_FV(Table_0[[#This Row],[Symbol]],"Market cap",TRUE)</f>
        <v>20607185416</v>
      </c>
    </row>
    <row r="319" spans="1:10" x14ac:dyDescent="0.25">
      <c r="A319">
        <v>316</v>
      </c>
      <c r="B319" t="s">
        <v>332</v>
      </c>
      <c r="C319" t="e" vm="316">
        <v>#VALUE!</v>
      </c>
      <c r="D319" t="str" cm="1">
        <f t="array" ref="D319">_FV(Table_0[[#This Row],[Symbol]],"Industry")</f>
        <v>Residential &amp; Commercial REIT</v>
      </c>
      <c r="E319" s="8">
        <v>6.1227999999999998E-2</v>
      </c>
      <c r="F319" s="11">
        <v>58.24</v>
      </c>
      <c r="G319" s="11">
        <v>-0.87</v>
      </c>
      <c r="H319" s="13" t="s">
        <v>751</v>
      </c>
      <c r="I319" s="9" cm="1">
        <f t="array" ref="I319">_FV(Table_0[[#This Row],[Symbol]],"P/E",TRUE)</f>
        <v>19.314299999999999</v>
      </c>
      <c r="J319" s="1" cm="1">
        <f t="array" ref="J319">_FV(Table_0[[#This Row],[Symbol]],"Market cap",TRUE)</f>
        <v>22009996736</v>
      </c>
    </row>
    <row r="320" spans="1:10" x14ac:dyDescent="0.25">
      <c r="A320">
        <v>317</v>
      </c>
      <c r="B320" t="s">
        <v>322</v>
      </c>
      <c r="C320" t="e" vm="317">
        <v>#VALUE!</v>
      </c>
      <c r="D320" t="str" cm="1">
        <f t="array" ref="D320">_FV(Table_0[[#This Row],[Symbol]],"Industry")</f>
        <v>Oil &amp; Gas</v>
      </c>
      <c r="E320" s="8">
        <v>6.1143000000000003E-2</v>
      </c>
      <c r="F320" s="11">
        <v>24.51</v>
      </c>
      <c r="G320" s="11">
        <v>-0.56000000000000005</v>
      </c>
      <c r="H320" s="13" t="s">
        <v>724</v>
      </c>
      <c r="I320" s="9" cm="1">
        <f t="array" ref="I320">_FV(Table_0[[#This Row],[Symbol]],"P/E",TRUE)</f>
        <v>5.1010999999999997</v>
      </c>
      <c r="J320" s="1" cm="1">
        <f t="array" ref="J320">_FV(Table_0[[#This Row],[Symbol]],"Market cap",TRUE)</f>
        <v>19321391186</v>
      </c>
    </row>
    <row r="321" spans="1:10" x14ac:dyDescent="0.25">
      <c r="A321">
        <v>318</v>
      </c>
      <c r="B321" t="s">
        <v>345</v>
      </c>
      <c r="C321" t="e" vm="318">
        <v>#VALUE!</v>
      </c>
      <c r="D321" t="str" cm="1">
        <f t="array" ref="D321">_FV(Table_0[[#This Row],[Symbol]],"Industry")</f>
        <v>Machinery, Equipment &amp; Components</v>
      </c>
      <c r="E321" s="8">
        <v>6.0909999999999999E-2</v>
      </c>
      <c r="F321" s="11">
        <v>107.69</v>
      </c>
      <c r="G321" s="11">
        <v>-3.47</v>
      </c>
      <c r="H321" s="13" t="s">
        <v>825</v>
      </c>
      <c r="I321" s="9" cm="1">
        <f t="array" ref="I321">_FV(Table_0[[#This Row],[Symbol]],"P/E",TRUE)</f>
        <v>63.077399999999997</v>
      </c>
      <c r="J321" s="1" cm="1">
        <f t="array" ref="J321">_FV(Table_0[[#This Row],[Symbol]],"Market cap",TRUE)</f>
        <v>19407152227</v>
      </c>
    </row>
    <row r="322" spans="1:10" x14ac:dyDescent="0.25">
      <c r="A322">
        <v>319</v>
      </c>
      <c r="B322" t="s">
        <v>302</v>
      </c>
      <c r="C322" t="e" vm="319">
        <v>#VALUE!</v>
      </c>
      <c r="D322" t="str" cm="1">
        <f t="array" ref="D322">_FV(Table_0[[#This Row],[Symbol]],"Industry")</f>
        <v>Media &amp; Publishing</v>
      </c>
      <c r="E322" s="8">
        <v>6.0879000000000003E-2</v>
      </c>
      <c r="F322" s="11">
        <v>8.8800000000000008</v>
      </c>
      <c r="G322" s="11">
        <v>-0.16</v>
      </c>
      <c r="H322" s="13" t="s">
        <v>741</v>
      </c>
      <c r="I322" s="9" cm="1">
        <f t="array" ref="I322">_FV(Table_0[[#This Row],[Symbol]],"P/E",TRUE)</f>
        <v>7.2262000000000004</v>
      </c>
      <c r="J322" s="1" cm="1">
        <f t="array" ref="J322">_FV(Table_0[[#This Row],[Symbol]],"Market cap",TRUE)</f>
        <v>21564884998</v>
      </c>
    </row>
    <row r="323" spans="1:10" x14ac:dyDescent="0.25">
      <c r="A323">
        <v>320</v>
      </c>
      <c r="B323" t="s">
        <v>330</v>
      </c>
      <c r="C323" t="e" vm="320">
        <v>#VALUE!</v>
      </c>
      <c r="D323" t="str" cm="1">
        <f t="array" ref="D323">_FV(Table_0[[#This Row],[Symbol]],"Industry")</f>
        <v>Banking Services</v>
      </c>
      <c r="E323" s="8">
        <v>6.0776999999999998E-2</v>
      </c>
      <c r="F323" s="11">
        <v>20.6</v>
      </c>
      <c r="G323" s="11">
        <v>-0.44</v>
      </c>
      <c r="H323" s="13" t="s">
        <v>703</v>
      </c>
      <c r="I323" s="9" cm="1">
        <f t="array" ref="I323">_FV(Table_0[[#This Row],[Symbol]],"P/E",TRUE)</f>
        <v>10.4885</v>
      </c>
      <c r="J323" s="1" cm="1">
        <f t="array" ref="J323">_FV(Table_0[[#This Row],[Symbol]],"Market cap",TRUE)</f>
        <v>19249579360</v>
      </c>
    </row>
    <row r="324" spans="1:10" x14ac:dyDescent="0.25">
      <c r="A324">
        <v>321</v>
      </c>
      <c r="B324" t="s">
        <v>347</v>
      </c>
      <c r="C324" t="e" vm="321">
        <v>#VALUE!</v>
      </c>
      <c r="D324" t="str" cm="1">
        <f t="array" ref="D324">_FV(Table_0[[#This Row],[Symbol]],"Industry")</f>
        <v>Personal &amp; Household Products &amp; Services</v>
      </c>
      <c r="E324" s="8">
        <v>6.0198000000000002E-2</v>
      </c>
      <c r="F324" s="11">
        <v>80.989999999999995</v>
      </c>
      <c r="G324" s="11">
        <v>-0.01</v>
      </c>
      <c r="H324" s="13" t="s">
        <v>36</v>
      </c>
      <c r="I324" s="9" cm="1">
        <f t="array" ref="I324">_FV(Table_0[[#This Row],[Symbol]],"P/E",TRUE)</f>
        <v>27.1401</v>
      </c>
      <c r="J324" s="1" cm="1">
        <f t="array" ref="J324">_FV(Table_0[[#This Row],[Symbol]],"Market cap",TRUE)</f>
        <v>19749674275</v>
      </c>
    </row>
    <row r="325" spans="1:10" x14ac:dyDescent="0.25">
      <c r="A325">
        <v>322</v>
      </c>
      <c r="B325" t="s">
        <v>339</v>
      </c>
      <c r="C325" t="e" vm="322">
        <v>#VALUE!</v>
      </c>
      <c r="D325" t="str" cm="1">
        <f t="array" ref="D325">_FV(Table_0[[#This Row],[Symbol]],"Industry")</f>
        <v>Residential &amp; Commercial REIT</v>
      </c>
      <c r="E325" s="8">
        <v>5.9802000000000001E-2</v>
      </c>
      <c r="F325" s="11">
        <v>144.22</v>
      </c>
      <c r="G325" s="11">
        <v>-2.75</v>
      </c>
      <c r="H325" s="13" t="s">
        <v>754</v>
      </c>
      <c r="I325" s="9" cm="1">
        <f t="array" ref="I325">_FV(Table_0[[#This Row],[Symbol]],"P/E",TRUE)</f>
        <v>21.339300000000001</v>
      </c>
      <c r="J325" s="1" cm="1">
        <f t="array" ref="J325">_FV(Table_0[[#This Row],[Symbol]],"Market cap",TRUE)</f>
        <v>19682450000</v>
      </c>
    </row>
    <row r="326" spans="1:10" x14ac:dyDescent="0.25">
      <c r="A326">
        <v>323</v>
      </c>
      <c r="B326" t="s">
        <v>342</v>
      </c>
      <c r="C326" t="e" vm="323">
        <v>#VALUE!</v>
      </c>
      <c r="D326" t="str" cm="1">
        <f t="array" ref="D326">_FV(Table_0[[#This Row],[Symbol]],"Industry")</f>
        <v>Software &amp; IT Services</v>
      </c>
      <c r="E326" s="8">
        <v>5.9677000000000001E-2</v>
      </c>
      <c r="F326" s="11">
        <v>320.68</v>
      </c>
      <c r="G326" s="11">
        <v>-18.309999999999999</v>
      </c>
      <c r="H326" s="13" t="s">
        <v>727</v>
      </c>
      <c r="I326" s="9" cm="1">
        <f t="array" ref="I326">_FV(Table_0[[#This Row],[Symbol]],"P/E",TRUE)</f>
        <v>49.361899999999999</v>
      </c>
      <c r="J326" s="1" cm="1">
        <f t="array" ref="J326">_FV(Table_0[[#This Row],[Symbol]],"Market cap",TRUE)</f>
        <v>18425596791</v>
      </c>
    </row>
    <row r="327" spans="1:10" x14ac:dyDescent="0.25">
      <c r="A327">
        <v>324</v>
      </c>
      <c r="B327" t="s">
        <v>350</v>
      </c>
      <c r="C327" t="e" vm="324">
        <v>#VALUE!</v>
      </c>
      <c r="D327" t="str" cm="1">
        <f t="array" ref="D327">_FV(Table_0[[#This Row],[Symbol]],"Industry")</f>
        <v>Healthcare Providers &amp; Services</v>
      </c>
      <c r="E327" s="8">
        <v>5.9582999999999997E-2</v>
      </c>
      <c r="F327" s="11">
        <v>333.43</v>
      </c>
      <c r="G327" s="11">
        <v>-0.34</v>
      </c>
      <c r="H327" s="13" t="s">
        <v>598</v>
      </c>
      <c r="I327" s="9" cm="1">
        <f t="array" ref="I327">_FV(Table_0[[#This Row],[Symbol]],"P/E",TRUE)</f>
        <v>23.282499999999999</v>
      </c>
      <c r="J327" s="1" cm="1">
        <f t="array" ref="J327">_FV(Table_0[[#This Row],[Symbol]],"Market cap",TRUE)</f>
        <v>19497424000</v>
      </c>
    </row>
    <row r="328" spans="1:10" x14ac:dyDescent="0.25">
      <c r="A328">
        <v>325</v>
      </c>
      <c r="B328" t="s">
        <v>343</v>
      </c>
      <c r="C328" t="e" vm="325">
        <v>#VALUE!</v>
      </c>
      <c r="D328" t="str" cm="1">
        <f t="array" ref="D328">_FV(Table_0[[#This Row],[Symbol]],"Industry")</f>
        <v>Machinery, Equipment &amp; Components</v>
      </c>
      <c r="E328" s="8">
        <v>5.9008999999999999E-2</v>
      </c>
      <c r="F328" s="11">
        <v>132.03</v>
      </c>
      <c r="G328" s="11">
        <v>-2.82</v>
      </c>
      <c r="H328" s="13" t="s">
        <v>703</v>
      </c>
      <c r="I328" s="9" cm="1">
        <f t="array" ref="I328">_FV(Table_0[[#This Row],[Symbol]],"P/E",TRUE)</f>
        <v>16.7532</v>
      </c>
      <c r="J328" s="1" cm="1">
        <f t="array" ref="J328">_FV(Table_0[[#This Row],[Symbol]],"Market cap",TRUE)</f>
        <v>19357630000</v>
      </c>
    </row>
    <row r="329" spans="1:10" x14ac:dyDescent="0.25">
      <c r="A329">
        <v>326</v>
      </c>
      <c r="B329" t="s">
        <v>354</v>
      </c>
      <c r="C329" t="e" vm="326">
        <v>#VALUE!</v>
      </c>
      <c r="D329" t="str" cm="1">
        <f t="array" ref="D329">_FV(Table_0[[#This Row],[Symbol]],"Industry")</f>
        <v>Software &amp; IT Services</v>
      </c>
      <c r="E329" s="8">
        <v>5.8645000000000003E-2</v>
      </c>
      <c r="F329" s="11">
        <v>202.17</v>
      </c>
      <c r="G329" s="11">
        <v>-2.64</v>
      </c>
      <c r="H329" s="13" t="s">
        <v>815</v>
      </c>
      <c r="I329" s="9" cm="1">
        <f t="array" ref="I329">_FV(Table_0[[#This Row],[Symbol]],"P/E",TRUE)</f>
        <v>27.235499999999998</v>
      </c>
      <c r="J329" s="1" cm="1">
        <f t="array" ref="J329">_FV(Table_0[[#This Row],[Symbol]],"Market cap",TRUE)</f>
        <v>21713230000</v>
      </c>
    </row>
    <row r="330" spans="1:10" x14ac:dyDescent="0.25">
      <c r="A330">
        <v>327</v>
      </c>
      <c r="B330" t="s">
        <v>346</v>
      </c>
      <c r="C330" t="e" vm="327">
        <v>#VALUE!</v>
      </c>
      <c r="D330" t="str" cm="1">
        <f t="array" ref="D330">_FV(Table_0[[#This Row],[Symbol]],"Industry")</f>
        <v>Multiline Utilities</v>
      </c>
      <c r="E330" s="8">
        <v>5.8499000000000002E-2</v>
      </c>
      <c r="F330" s="11">
        <v>29.9</v>
      </c>
      <c r="G330" s="11">
        <v>-0.63</v>
      </c>
      <c r="H330" s="13" t="s">
        <v>672</v>
      </c>
      <c r="I330" s="9" cm="1">
        <f t="array" ref="I330">_FV(Table_0[[#This Row],[Symbol]],"P/E",TRUE)</f>
        <v>21.1858</v>
      </c>
      <c r="J330" s="1" cm="1">
        <f t="array" ref="J330">_FV(Table_0[[#This Row],[Symbol]],"Market cap",TRUE)</f>
        <v>18823114440</v>
      </c>
    </row>
    <row r="331" spans="1:10" x14ac:dyDescent="0.25">
      <c r="A331">
        <v>328</v>
      </c>
      <c r="B331" t="s">
        <v>338</v>
      </c>
      <c r="C331" t="e" vm="328">
        <v>#VALUE!</v>
      </c>
      <c r="D331" t="str" cm="1">
        <f t="array" ref="D331">_FV(Table_0[[#This Row],[Symbol]],"Industry")</f>
        <v>Banking Services</v>
      </c>
      <c r="E331" s="8">
        <v>5.8423999999999997E-2</v>
      </c>
      <c r="F331" s="11">
        <v>38</v>
      </c>
      <c r="G331" s="11">
        <v>-0.7</v>
      </c>
      <c r="H331" s="13" t="s">
        <v>760</v>
      </c>
      <c r="I331" s="9" cm="1">
        <f t="array" ref="I331">_FV(Table_0[[#This Row],[Symbol]],"P/E",TRUE)</f>
        <v>9.6791</v>
      </c>
      <c r="J331" s="1" cm="1">
        <f t="array" ref="J331">_FV(Table_0[[#This Row],[Symbol]],"Market cap",TRUE)</f>
        <v>18714658000</v>
      </c>
    </row>
    <row r="332" spans="1:10" x14ac:dyDescent="0.25">
      <c r="A332">
        <v>329</v>
      </c>
      <c r="B332" t="s">
        <v>352</v>
      </c>
      <c r="C332" t="e" vm="329">
        <v>#VALUE!</v>
      </c>
      <c r="D332" t="str" cm="1">
        <f t="array" ref="D332">_FV(Table_0[[#This Row],[Symbol]],"Industry")</f>
        <v>Electrical Utilities &amp; IPPs</v>
      </c>
      <c r="E332" s="8">
        <v>5.8241000000000001E-2</v>
      </c>
      <c r="F332" s="11">
        <v>27.95</v>
      </c>
      <c r="G332" s="11">
        <v>-0.79</v>
      </c>
      <c r="H332" s="13" t="s">
        <v>675</v>
      </c>
      <c r="I332" s="9" cm="1">
        <f t="array" ref="I332">_FV(Table_0[[#This Row],[Symbol]],"P/E",TRUE)</f>
        <v>0</v>
      </c>
      <c r="J332" s="1" cm="1">
        <f t="array" ref="J332">_FV(Table_0[[#This Row],[Symbol]],"Market cap",TRUE)</f>
        <v>18665857161</v>
      </c>
    </row>
    <row r="333" spans="1:10" x14ac:dyDescent="0.25">
      <c r="A333">
        <v>330</v>
      </c>
      <c r="B333" t="s">
        <v>353</v>
      </c>
      <c r="C333" t="e" vm="330">
        <v>#VALUE!</v>
      </c>
      <c r="D333" t="str" cm="1">
        <f t="array" ref="D333">_FV(Table_0[[#This Row],[Symbol]],"Industry")</f>
        <v>Healthcare Equipment &amp; Supplies</v>
      </c>
      <c r="E333" s="8">
        <v>5.8007000000000003E-2</v>
      </c>
      <c r="F333" s="11">
        <v>74.03</v>
      </c>
      <c r="G333" s="11">
        <v>-1.39</v>
      </c>
      <c r="H333" s="13" t="s">
        <v>717</v>
      </c>
      <c r="I333" s="9" cm="1">
        <f t="array" ref="I333">_FV(Table_0[[#This Row],[Symbol]],"P/E",TRUE)</f>
        <v>14.734999999999999</v>
      </c>
      <c r="J333" s="1" cm="1">
        <f t="array" ref="J333">_FV(Table_0[[#This Row],[Symbol]],"Market cap",TRUE)</f>
        <v>18199076214</v>
      </c>
    </row>
    <row r="334" spans="1:10" x14ac:dyDescent="0.25">
      <c r="A334">
        <v>331</v>
      </c>
      <c r="B334" t="s">
        <v>334</v>
      </c>
      <c r="C334" t="e" vm="331">
        <v>#VALUE!</v>
      </c>
      <c r="D334" t="str" cm="1">
        <f t="array" ref="D334">_FV(Table_0[[#This Row],[Symbol]],"Industry")</f>
        <v>Chemicals</v>
      </c>
      <c r="E334" s="8">
        <v>5.7188000000000003E-2</v>
      </c>
      <c r="F334" s="11">
        <v>89.18</v>
      </c>
      <c r="G334" s="11">
        <v>-4.3499999999999996</v>
      </c>
      <c r="H334" s="13" t="s">
        <v>808</v>
      </c>
      <c r="I334" s="9" cm="1">
        <f t="array" ref="I334">_FV(Table_0[[#This Row],[Symbol]],"P/E",TRUE)</f>
        <v>6.1397000000000004</v>
      </c>
      <c r="J334" s="1" cm="1">
        <f t="array" ref="J334">_FV(Table_0[[#This Row],[Symbol]],"Market cap",TRUE)</f>
        <v>17493236767</v>
      </c>
    </row>
    <row r="335" spans="1:10" x14ac:dyDescent="0.25">
      <c r="A335">
        <v>332</v>
      </c>
      <c r="B335" t="s">
        <v>348</v>
      </c>
      <c r="C335" t="e" vm="332">
        <v>#VALUE!</v>
      </c>
      <c r="D335" t="str" cm="1">
        <f t="array" ref="D335">_FV(Table_0[[#This Row],[Symbol]],"Industry")</f>
        <v>Electronic Equipment &amp; Parts</v>
      </c>
      <c r="E335" s="8">
        <v>5.6815999999999998E-2</v>
      </c>
      <c r="F335" s="11">
        <v>389.51</v>
      </c>
      <c r="G335" s="11">
        <v>-10.15</v>
      </c>
      <c r="H335" s="13" t="s">
        <v>779</v>
      </c>
      <c r="I335" s="9" cm="1">
        <f t="array" ref="I335">_FV(Table_0[[#This Row],[Symbol]],"P/E",TRUE)</f>
        <v>26.355799999999999</v>
      </c>
      <c r="J335" s="1" cm="1">
        <f t="array" ref="J335">_FV(Table_0[[#This Row],[Symbol]],"Market cap",TRUE)</f>
        <v>18233847677</v>
      </c>
    </row>
    <row r="336" spans="1:10" x14ac:dyDescent="0.25">
      <c r="A336">
        <v>333</v>
      </c>
      <c r="B336" t="s">
        <v>362</v>
      </c>
      <c r="C336" t="e" vm="333">
        <v>#VALUE!</v>
      </c>
      <c r="D336" t="str" cm="1">
        <f t="array" ref="D336">_FV(Table_0[[#This Row],[Symbol]],"Industry")</f>
        <v>Machinery, Equipment &amp; Components</v>
      </c>
      <c r="E336" s="8">
        <v>5.6661000000000003E-2</v>
      </c>
      <c r="F336" s="11">
        <v>98.73</v>
      </c>
      <c r="G336" s="11">
        <v>-2.78</v>
      </c>
      <c r="H336" s="13" t="s">
        <v>797</v>
      </c>
      <c r="I336" s="9" cm="1">
        <f t="array" ref="I336">_FV(Table_0[[#This Row],[Symbol]],"P/E",TRUE)</f>
        <v>28.252500000000001</v>
      </c>
      <c r="J336" s="1" cm="1">
        <f t="array" ref="J336">_FV(Table_0[[#This Row],[Symbol]],"Market cap",TRUE)</f>
        <v>17955817767</v>
      </c>
    </row>
    <row r="337" spans="1:10" x14ac:dyDescent="0.25">
      <c r="A337">
        <v>334</v>
      </c>
      <c r="B337" t="s">
        <v>365</v>
      </c>
      <c r="C337" t="e" vm="334">
        <v>#VALUE!</v>
      </c>
      <c r="D337" t="str" cm="1">
        <f t="array" ref="D337">_FV(Table_0[[#This Row],[Symbol]],"Industry")</f>
        <v>Food &amp; Tobacco</v>
      </c>
      <c r="E337" s="8">
        <v>5.6633000000000003E-2</v>
      </c>
      <c r="F337" s="11">
        <v>38.659999999999997</v>
      </c>
      <c r="G337" s="11">
        <v>-0.12</v>
      </c>
      <c r="H337" s="13" t="s">
        <v>152</v>
      </c>
      <c r="I337" s="9" cm="1">
        <f t="array" ref="I337">_FV(Table_0[[#This Row],[Symbol]],"P/E",TRUE)</f>
        <v>32.509300000000003</v>
      </c>
      <c r="J337" s="1" cm="1">
        <f t="array" ref="J337">_FV(Table_0[[#This Row],[Symbol]],"Market cap",TRUE)</f>
        <v>18523205750</v>
      </c>
    </row>
    <row r="338" spans="1:10" x14ac:dyDescent="0.25">
      <c r="A338">
        <v>335</v>
      </c>
      <c r="B338" t="s">
        <v>355</v>
      </c>
      <c r="C338" t="e" vm="335">
        <v>#VALUE!</v>
      </c>
      <c r="D338" t="str" cm="1">
        <f t="array" ref="D338">_FV(Table_0[[#This Row],[Symbol]],"Industry")</f>
        <v>Food &amp; Tobacco</v>
      </c>
      <c r="E338" s="8">
        <v>5.6599999999999998E-2</v>
      </c>
      <c r="F338" s="11">
        <v>71.400000000000006</v>
      </c>
      <c r="G338" s="11">
        <v>-0.42</v>
      </c>
      <c r="H338" s="13" t="s">
        <v>366</v>
      </c>
      <c r="I338" s="9" cm="1">
        <f t="array" ref="I338">_FV(Table_0[[#This Row],[Symbol]],"P/E",TRUE)</f>
        <v>16.541499999999999</v>
      </c>
      <c r="J338" s="1" cm="1">
        <f t="array" ref="J338">_FV(Table_0[[#This Row],[Symbol]],"Market cap",TRUE)</f>
        <v>24365764134</v>
      </c>
    </row>
    <row r="339" spans="1:10" x14ac:dyDescent="0.25">
      <c r="A339">
        <v>336</v>
      </c>
      <c r="B339" t="s">
        <v>351</v>
      </c>
      <c r="C339" t="e" vm="336">
        <v>#VALUE!</v>
      </c>
      <c r="D339" t="str" cm="1">
        <f t="array" ref="D339">_FV(Table_0[[#This Row],[Symbol]],"Industry")</f>
        <v>Investment Banking &amp; Investment Services</v>
      </c>
      <c r="E339" s="8">
        <v>5.6368000000000001E-2</v>
      </c>
      <c r="F339" s="11">
        <v>86.45</v>
      </c>
      <c r="G339" s="11">
        <v>-2.5099999999999998</v>
      </c>
      <c r="H339" s="13" t="s">
        <v>837</v>
      </c>
      <c r="I339" s="9" cm="1">
        <f t="array" ref="I339">_FV(Table_0[[#This Row],[Symbol]],"P/E",TRUE)</f>
        <v>12.1226</v>
      </c>
      <c r="J339" s="1" cm="1">
        <f t="array" ref="J339">_FV(Table_0[[#This Row],[Symbol]],"Market cap",TRUE)</f>
        <v>18538570000</v>
      </c>
    </row>
    <row r="340" spans="1:10" x14ac:dyDescent="0.25">
      <c r="A340">
        <v>337</v>
      </c>
      <c r="B340" t="s">
        <v>359</v>
      </c>
      <c r="C340" t="e" vm="337">
        <v>#VALUE!</v>
      </c>
      <c r="D340" t="str" cm="1">
        <f t="array" ref="D340">_FV(Table_0[[#This Row],[Symbol]],"Industry")</f>
        <v>Containers &amp; Packaging</v>
      </c>
      <c r="E340" s="8">
        <v>5.5841000000000002E-2</v>
      </c>
      <c r="F340" s="11">
        <v>11.86</v>
      </c>
      <c r="G340" s="11">
        <v>-0.25</v>
      </c>
      <c r="H340" s="13" t="s">
        <v>640</v>
      </c>
      <c r="I340" s="9" cm="1">
        <f t="array" ref="I340">_FV(Table_0[[#This Row],[Symbol]],"P/E",TRUE)</f>
        <v>21.938199999999998</v>
      </c>
      <c r="J340" s="1" cm="1">
        <f t="array" ref="J340">_FV(Table_0[[#This Row],[Symbol]],"Market cap",TRUE)</f>
        <v>17652332100</v>
      </c>
    </row>
    <row r="341" spans="1:10" x14ac:dyDescent="0.25">
      <c r="A341">
        <v>338</v>
      </c>
      <c r="B341" t="s">
        <v>371</v>
      </c>
      <c r="C341" t="e" vm="338">
        <v>#VALUE!</v>
      </c>
      <c r="D341" t="str" cm="1">
        <f t="array" ref="D341">_FV(Table_0[[#This Row],[Symbol]],"Industry")</f>
        <v>Healthcare Providers &amp; Services</v>
      </c>
      <c r="E341" s="8">
        <v>5.5513E-2</v>
      </c>
      <c r="F341" s="11">
        <v>154.47</v>
      </c>
      <c r="G341" s="11">
        <v>-0.83</v>
      </c>
      <c r="H341" s="13" t="s">
        <v>616</v>
      </c>
      <c r="I341" s="9" cm="1">
        <f t="array" ref="I341">_FV(Table_0[[#This Row],[Symbol]],"P/E",TRUE)</f>
        <v>15.3033</v>
      </c>
      <c r="J341" s="1" cm="1">
        <f t="array" ref="J341">_FV(Table_0[[#This Row],[Symbol]],"Market cap",TRUE)</f>
        <v>17686720000</v>
      </c>
    </row>
    <row r="342" spans="1:10" x14ac:dyDescent="0.25">
      <c r="A342">
        <v>339</v>
      </c>
      <c r="B342" t="s">
        <v>364</v>
      </c>
      <c r="C342" t="e" vm="339">
        <v>#VALUE!</v>
      </c>
      <c r="D342" t="str" cm="1">
        <f t="array" ref="D342">_FV(Table_0[[#This Row],[Symbol]],"Industry")</f>
        <v>Healthcare Equipment &amp; Supplies</v>
      </c>
      <c r="E342" s="8">
        <v>5.5442999999999999E-2</v>
      </c>
      <c r="F342" s="11">
        <v>178.29</v>
      </c>
      <c r="G342" s="11">
        <v>-3.19</v>
      </c>
      <c r="H342" s="13" t="s">
        <v>740</v>
      </c>
      <c r="I342" s="9" cm="1">
        <f t="array" ref="I342">_FV(Table_0[[#This Row],[Symbol]],"P/E",TRUE)</f>
        <v>43.032400000000003</v>
      </c>
      <c r="J342" s="1" cm="1">
        <f t="array" ref="J342">_FV(Table_0[[#This Row],[Symbol]],"Market cap",TRUE)</f>
        <v>17797433755</v>
      </c>
    </row>
    <row r="343" spans="1:10" x14ac:dyDescent="0.25">
      <c r="A343">
        <v>340</v>
      </c>
      <c r="B343" t="s">
        <v>368</v>
      </c>
      <c r="C343" t="e" vm="340">
        <v>#VALUE!</v>
      </c>
      <c r="D343" t="str" cm="1">
        <f t="array" ref="D343">_FV(Table_0[[#This Row],[Symbol]],"Industry")</f>
        <v>Multiline Utilities</v>
      </c>
      <c r="E343" s="8">
        <v>5.5370999999999997E-2</v>
      </c>
      <c r="F343" s="11">
        <v>61.65</v>
      </c>
      <c r="G343" s="11">
        <v>-1.01</v>
      </c>
      <c r="H343" s="13" t="s">
        <v>729</v>
      </c>
      <c r="I343" s="9" cm="1">
        <f t="array" ref="I343">_FV(Table_0[[#This Row],[Symbol]],"P/E",TRUE)</f>
        <v>25.135400000000001</v>
      </c>
      <c r="J343" s="1" cm="1">
        <f t="array" ref="J343">_FV(Table_0[[#This Row],[Symbol]],"Market cap",TRUE)</f>
        <v>17894011140</v>
      </c>
    </row>
    <row r="344" spans="1:10" x14ac:dyDescent="0.25">
      <c r="A344">
        <v>341</v>
      </c>
      <c r="B344" t="s">
        <v>385</v>
      </c>
      <c r="C344" t="e" vm="341">
        <v>#VALUE!</v>
      </c>
      <c r="D344" t="str" cm="1">
        <f t="array" ref="D344">_FV(Table_0[[#This Row],[Symbol]],"Industry")</f>
        <v>Renewable Energy</v>
      </c>
      <c r="E344" s="8">
        <v>5.4767999999999997E-2</v>
      </c>
      <c r="F344" s="11">
        <v>307.23</v>
      </c>
      <c r="G344" s="11">
        <v>-15.93</v>
      </c>
      <c r="H344" s="13" t="s">
        <v>821</v>
      </c>
      <c r="I344" s="9" cm="1">
        <f t="array" ref="I344">_FV(Table_0[[#This Row],[Symbol]],"P/E",TRUE)</f>
        <v>158.67779999999999</v>
      </c>
      <c r="J344" s="1" cm="1">
        <f t="array" ref="J344">_FV(Table_0[[#This Row],[Symbol]],"Market cap",TRUE)</f>
        <v>17172580910</v>
      </c>
    </row>
    <row r="345" spans="1:10" x14ac:dyDescent="0.25">
      <c r="A345">
        <v>342</v>
      </c>
      <c r="B345" t="s">
        <v>379</v>
      </c>
      <c r="C345" t="e" vm="342">
        <v>#VALUE!</v>
      </c>
      <c r="D345" t="str" cm="1">
        <f t="array" ref="D345">_FV(Table_0[[#This Row],[Symbol]],"Industry")</f>
        <v>Healthcare Equipment &amp; Supplies</v>
      </c>
      <c r="E345" s="8">
        <v>5.4675000000000001E-2</v>
      </c>
      <c r="F345" s="11">
        <v>138.91</v>
      </c>
      <c r="G345" s="11">
        <v>-3.25</v>
      </c>
      <c r="H345" s="13" t="s">
        <v>706</v>
      </c>
      <c r="I345" s="9" cm="1">
        <f t="array" ref="I345">_FV(Table_0[[#This Row],[Symbol]],"P/E",TRUE)</f>
        <v>29.2241</v>
      </c>
      <c r="J345" s="1" cm="1">
        <f t="array" ref="J345">_FV(Table_0[[#This Row],[Symbol]],"Market cap",TRUE)</f>
        <v>17571425901</v>
      </c>
    </row>
    <row r="346" spans="1:10" x14ac:dyDescent="0.25">
      <c r="A346">
        <v>343</v>
      </c>
      <c r="B346" t="s">
        <v>358</v>
      </c>
      <c r="C346" t="e" vm="343">
        <v>#VALUE!</v>
      </c>
      <c r="D346" t="str" cm="1">
        <f t="array" ref="D346">_FV(Table_0[[#This Row],[Symbol]],"Industry")</f>
        <v>Residential &amp; Commercial REIT</v>
      </c>
      <c r="E346" s="8">
        <v>5.4634000000000002E-2</v>
      </c>
      <c r="F346" s="11">
        <v>153.38999999999999</v>
      </c>
      <c r="G346" s="11">
        <v>-2.58</v>
      </c>
      <c r="H346" s="13" t="s">
        <v>633</v>
      </c>
      <c r="I346" s="9" cm="1">
        <f t="array" ref="I346">_FV(Table_0[[#This Row],[Symbol]],"P/E",TRUE)</f>
        <v>28.807099999999998</v>
      </c>
      <c r="J346" s="1" cm="1">
        <f t="array" ref="J346">_FV(Table_0[[#This Row],[Symbol]],"Market cap",TRUE)</f>
        <v>17712439645</v>
      </c>
    </row>
    <row r="347" spans="1:10" x14ac:dyDescent="0.25">
      <c r="A347">
        <v>344</v>
      </c>
      <c r="B347" t="s">
        <v>369</v>
      </c>
      <c r="C347" t="e" vm="344">
        <v>#VALUE!</v>
      </c>
      <c r="D347" t="str" cm="1">
        <f t="array" ref="D347">_FV(Table_0[[#This Row],[Symbol]],"Industry")</f>
        <v>Residential &amp; Commercial REIT</v>
      </c>
      <c r="E347" s="8">
        <v>5.4529000000000001E-2</v>
      </c>
      <c r="F347" s="11">
        <v>44.4</v>
      </c>
      <c r="G347" s="11">
        <v>-0.44</v>
      </c>
      <c r="H347" s="13" t="s">
        <v>602</v>
      </c>
      <c r="I347" s="9" cm="1">
        <f t="array" ref="I347">_FV(Table_0[[#This Row],[Symbol]],"P/E",TRUE)</f>
        <v>822.40499999999997</v>
      </c>
      <c r="J347" s="1" cm="1">
        <f t="array" ref="J347">_FV(Table_0[[#This Row],[Symbol]],"Market cap",TRUE)</f>
        <v>17743482020</v>
      </c>
    </row>
    <row r="348" spans="1:10" x14ac:dyDescent="0.25">
      <c r="A348">
        <v>345</v>
      </c>
      <c r="B348" t="s">
        <v>349</v>
      </c>
      <c r="C348" t="e" vm="345">
        <v>#VALUE!</v>
      </c>
      <c r="D348" t="str" cm="1">
        <f t="array" ref="D348">_FV(Table_0[[#This Row],[Symbol]],"Industry")</f>
        <v>Food &amp; Tobacco</v>
      </c>
      <c r="E348" s="8">
        <v>5.4442999999999998E-2</v>
      </c>
      <c r="F348" s="11">
        <v>59.77</v>
      </c>
      <c r="G348" s="11">
        <v>-0.99</v>
      </c>
      <c r="H348" s="13" t="s">
        <v>650</v>
      </c>
      <c r="I348" s="9" cm="1">
        <f t="array" ref="I348">_FV(Table_0[[#This Row],[Symbol]],"P/E",TRUE)</f>
        <v>6.8270999999999997</v>
      </c>
      <c r="J348" s="1" cm="1">
        <f t="array" ref="J348">_FV(Table_0[[#This Row],[Symbol]],"Market cap",TRUE)</f>
        <v>21492652461</v>
      </c>
    </row>
    <row r="349" spans="1:10" x14ac:dyDescent="0.25">
      <c r="A349">
        <v>346</v>
      </c>
      <c r="B349" t="s">
        <v>340</v>
      </c>
      <c r="C349" t="e" vm="346">
        <v>#VALUE!</v>
      </c>
      <c r="D349" t="str" cm="1">
        <f t="array" ref="D349">_FV(Table_0[[#This Row],[Symbol]],"Industry")</f>
        <v>Oil &amp; Gas</v>
      </c>
      <c r="E349" s="8">
        <v>5.4248999999999999E-2</v>
      </c>
      <c r="F349" s="11">
        <v>26.63</v>
      </c>
      <c r="G349" s="11">
        <v>-1.1100000000000001</v>
      </c>
      <c r="H349" s="13" t="s">
        <v>865</v>
      </c>
      <c r="I349" s="9" cm="1">
        <f t="array" ref="I349">_FV(Table_0[[#This Row],[Symbol]],"P/E",TRUE)</f>
        <v>5.3341000000000003</v>
      </c>
      <c r="J349" s="1" cm="1">
        <f t="array" ref="J349">_FV(Table_0[[#This Row],[Symbol]],"Market cap",TRUE)</f>
        <v>16911855514</v>
      </c>
    </row>
    <row r="350" spans="1:10" x14ac:dyDescent="0.25">
      <c r="A350">
        <v>347</v>
      </c>
      <c r="B350" t="s">
        <v>356</v>
      </c>
      <c r="C350" t="e" vm="347">
        <v>#VALUE!</v>
      </c>
      <c r="D350" t="str" cm="1">
        <f t="array" ref="D350">_FV(Table_0[[#This Row],[Symbol]],"Industry")</f>
        <v>Freight &amp; Logistics Services</v>
      </c>
      <c r="E350" s="8">
        <v>5.4005999999999998E-2</v>
      </c>
      <c r="F350" s="11">
        <v>105.65</v>
      </c>
      <c r="G350" s="11">
        <v>-1.95</v>
      </c>
      <c r="H350" s="13" t="s">
        <v>760</v>
      </c>
      <c r="I350" s="9" cm="1">
        <f t="array" ref="I350">_FV(Table_0[[#This Row],[Symbol]],"P/E",TRUE)</f>
        <v>11.3141</v>
      </c>
      <c r="J350" s="1" cm="1">
        <f t="array" ref="J350">_FV(Table_0[[#This Row],[Symbol]],"Market cap",TRUE)</f>
        <v>17123070000</v>
      </c>
    </row>
    <row r="351" spans="1:10" x14ac:dyDescent="0.25">
      <c r="A351">
        <v>348</v>
      </c>
      <c r="B351" t="s">
        <v>357</v>
      </c>
      <c r="C351" t="e" vm="348">
        <v>#VALUE!</v>
      </c>
      <c r="D351" t="str" cm="1">
        <f t="array" ref="D351">_FV(Table_0[[#This Row],[Symbol]],"Industry")</f>
        <v>Personal &amp; Household Products &amp; Services</v>
      </c>
      <c r="E351" s="8">
        <v>5.3631999999999999E-2</v>
      </c>
      <c r="F351" s="11">
        <v>144.15</v>
      </c>
      <c r="G351" s="11">
        <v>0.55000000000000004</v>
      </c>
      <c r="H351" s="13" t="s">
        <v>589</v>
      </c>
      <c r="I351" s="9" cm="1">
        <f t="array" ref="I351">_FV(Table_0[[#This Row],[Symbol]],"P/E",TRUE)</f>
        <v>43.920299999999997</v>
      </c>
      <c r="J351" s="1" cm="1">
        <f t="array" ref="J351">_FV(Table_0[[#This Row],[Symbol]],"Market cap",TRUE)</f>
        <v>17786535844</v>
      </c>
    </row>
    <row r="352" spans="1:10" x14ac:dyDescent="0.25">
      <c r="A352">
        <v>349</v>
      </c>
      <c r="B352" t="s">
        <v>370</v>
      </c>
      <c r="C352" t="e" vm="349">
        <v>#VALUE!</v>
      </c>
      <c r="D352" t="str" cm="1">
        <f t="array" ref="D352">_FV(Table_0[[#This Row],[Symbol]],"Industry")</f>
        <v>Machinery, Equipment &amp; Components</v>
      </c>
      <c r="E352" s="8">
        <v>5.3602999999999998E-2</v>
      </c>
      <c r="F352" s="11">
        <v>226.39</v>
      </c>
      <c r="G352" s="11">
        <v>-5.61</v>
      </c>
      <c r="H352" s="13" t="s">
        <v>714</v>
      </c>
      <c r="I352" s="9" cm="1">
        <f t="array" ref="I352">_FV(Table_0[[#This Row],[Symbol]],"P/E",TRUE)</f>
        <v>30.6843</v>
      </c>
      <c r="J352" s="1" cm="1">
        <f t="array" ref="J352">_FV(Table_0[[#This Row],[Symbol]],"Market cap",TRUE)</f>
        <v>17089669314</v>
      </c>
    </row>
    <row r="353" spans="1:10" x14ac:dyDescent="0.25">
      <c r="A353">
        <v>350</v>
      </c>
      <c r="B353" t="s">
        <v>759</v>
      </c>
      <c r="C353" t="e" vm="350">
        <v>#VALUE!</v>
      </c>
      <c r="D353" t="str" cm="1">
        <f t="array" ref="D353">_FV(Table_0[[#This Row],[Symbol]],"Industry")</f>
        <v>Metals &amp; Mining</v>
      </c>
      <c r="E353" s="8">
        <v>5.3581999999999998E-2</v>
      </c>
      <c r="F353" s="11">
        <v>99.59</v>
      </c>
      <c r="G353" s="11">
        <v>-5.24</v>
      </c>
      <c r="H353" s="13" t="s">
        <v>809</v>
      </c>
      <c r="I353" s="9" cm="1">
        <f t="array" ref="I353">_FV(Table_0[[#This Row],[Symbol]],"P/E",TRUE)</f>
        <v>4.6226000000000003</v>
      </c>
      <c r="J353" s="1" cm="1">
        <f t="array" ref="J353">_FV(Table_0[[#This Row],[Symbol]],"Market cap",TRUE)</f>
        <v>17484277869</v>
      </c>
    </row>
    <row r="354" spans="1:10" x14ac:dyDescent="0.25">
      <c r="A354">
        <v>351</v>
      </c>
      <c r="B354" t="s">
        <v>363</v>
      </c>
      <c r="C354" t="e" vm="351">
        <v>#VALUE!</v>
      </c>
      <c r="D354" t="str" cm="1">
        <f t="array" ref="D354">_FV(Table_0[[#This Row],[Symbol]],"Industry")</f>
        <v>Residential &amp; Commercial REIT</v>
      </c>
      <c r="E354" s="8">
        <v>5.2969000000000002E-2</v>
      </c>
      <c r="F354" s="11">
        <v>29.17</v>
      </c>
      <c r="G354" s="11">
        <v>-0.6</v>
      </c>
      <c r="H354" s="13" t="s">
        <v>640</v>
      </c>
      <c r="I354" s="9" cm="1">
        <f t="array" ref="I354">_FV(Table_0[[#This Row],[Symbol]],"P/E",TRUE)</f>
        <v>50.776899999999998</v>
      </c>
      <c r="J354" s="1" cm="1">
        <f t="array" ref="J354">_FV(Table_0[[#This Row],[Symbol]],"Market cap",TRUE)</f>
        <v>17834826783</v>
      </c>
    </row>
    <row r="355" spans="1:10" x14ac:dyDescent="0.25">
      <c r="A355">
        <v>352</v>
      </c>
      <c r="B355" t="s">
        <v>381</v>
      </c>
      <c r="C355" t="e" vm="352">
        <v>#VALUE!</v>
      </c>
      <c r="D355" t="str" cm="1">
        <f t="array" ref="D355">_FV(Table_0[[#This Row],[Symbol]],"Industry")</f>
        <v>Healthcare Equipment &amp; Supplies</v>
      </c>
      <c r="E355" s="8">
        <v>5.2770999999999998E-2</v>
      </c>
      <c r="F355" s="11">
        <v>230</v>
      </c>
      <c r="G355" s="11">
        <v>-4.6900000000000004</v>
      </c>
      <c r="H355" s="13" t="s">
        <v>606</v>
      </c>
      <c r="I355" s="9" cm="1">
        <f t="array" ref="I355">_FV(Table_0[[#This Row],[Symbol]],"P/E",TRUE)</f>
        <v>28.249099999999999</v>
      </c>
      <c r="J355" s="1" cm="1">
        <f t="array" ref="J355">_FV(Table_0[[#This Row],[Symbol]],"Market cap",TRUE)</f>
        <v>17027217535</v>
      </c>
    </row>
    <row r="356" spans="1:10" x14ac:dyDescent="0.25">
      <c r="A356">
        <v>353</v>
      </c>
      <c r="B356" t="s">
        <v>360</v>
      </c>
      <c r="C356" t="e" vm="353">
        <v>#VALUE!</v>
      </c>
      <c r="D356" t="str" cm="1">
        <f t="array" ref="D356">_FV(Table_0[[#This Row],[Symbol]],"Industry")</f>
        <v>Hotels &amp; Entertainment Services</v>
      </c>
      <c r="E356" s="8">
        <v>5.2129000000000002E-2</v>
      </c>
      <c r="F356" s="11">
        <v>136.54</v>
      </c>
      <c r="G356" s="11">
        <v>-2.0099999999999998</v>
      </c>
      <c r="H356" s="13" t="s">
        <v>642</v>
      </c>
      <c r="I356" s="9" cm="1">
        <f t="array" ref="I356">_FV(Table_0[[#This Row],[Symbol]],"P/E",TRUE)</f>
        <v>19.082799999999999</v>
      </c>
      <c r="J356" s="1" cm="1">
        <f t="array" ref="J356">_FV(Table_0[[#This Row],[Symbol]],"Market cap",TRUE)</f>
        <v>16718689795</v>
      </c>
    </row>
    <row r="357" spans="1:10" x14ac:dyDescent="0.25">
      <c r="A357">
        <v>354</v>
      </c>
      <c r="B357" t="s">
        <v>386</v>
      </c>
      <c r="C357" t="e" vm="354">
        <v>#VALUE!</v>
      </c>
      <c r="D357" t="str" cm="1">
        <f t="array" ref="D357">_FV(Table_0[[#This Row],[Symbol]],"Industry")</f>
        <v>Food &amp; Tobacco</v>
      </c>
      <c r="E357" s="8">
        <v>5.1993999999999999E-2</v>
      </c>
      <c r="F357" s="11">
        <v>158.08000000000001</v>
      </c>
      <c r="G357" s="11">
        <v>0.14000000000000001</v>
      </c>
      <c r="H357" s="13" t="s">
        <v>418</v>
      </c>
      <c r="I357" s="9" cm="1">
        <f t="array" ref="I357">_FV(Table_0[[#This Row],[Symbol]],"P/E",TRUE)</f>
        <v>29.561299999999999</v>
      </c>
      <c r="J357" s="1" cm="1">
        <f t="array" ref="J357">_FV(Table_0[[#This Row],[Symbol]],"Market cap",TRUE)</f>
        <v>16857493120</v>
      </c>
    </row>
    <row r="358" spans="1:10" x14ac:dyDescent="0.25">
      <c r="A358">
        <v>355</v>
      </c>
      <c r="B358" t="s">
        <v>399</v>
      </c>
      <c r="C358" t="e" vm="355">
        <v>#VALUE!</v>
      </c>
      <c r="D358" t="str" cm="1">
        <f t="array" ref="D358">_FV(Table_0[[#This Row],[Symbol]],"Industry")</f>
        <v>Diversified Retail</v>
      </c>
      <c r="E358" s="8">
        <v>5.1866000000000002E-2</v>
      </c>
      <c r="F358" s="11">
        <v>124.74</v>
      </c>
      <c r="G358" s="11">
        <v>-9.59</v>
      </c>
      <c r="H358" s="13" t="s">
        <v>844</v>
      </c>
      <c r="I358" s="9" cm="1">
        <f t="array" ref="I358">_FV(Table_0[[#This Row],[Symbol]],"P/E",TRUE)</f>
        <v>31.364899999999999</v>
      </c>
      <c r="J358" s="1" cm="1">
        <f t="array" ref="J358">_FV(Table_0[[#This Row],[Symbol]],"Market cap",TRUE)</f>
        <v>15678358542</v>
      </c>
    </row>
    <row r="359" spans="1:10" x14ac:dyDescent="0.25">
      <c r="A359">
        <v>356</v>
      </c>
      <c r="B359" t="s">
        <v>374</v>
      </c>
      <c r="C359" t="e" vm="356">
        <v>#VALUE!</v>
      </c>
      <c r="D359" t="str" cm="1">
        <f t="array" ref="D359">_FV(Table_0[[#This Row],[Symbol]],"Industry")</f>
        <v>Insurance</v>
      </c>
      <c r="E359" s="8">
        <v>5.1068000000000002E-2</v>
      </c>
      <c r="F359" s="11">
        <v>102.8</v>
      </c>
      <c r="G359" s="11">
        <v>-1.76</v>
      </c>
      <c r="H359" s="13" t="s">
        <v>713</v>
      </c>
      <c r="I359" s="9" cm="1">
        <f t="array" ref="I359">_FV(Table_0[[#This Row],[Symbol]],"P/E",TRUE)</f>
        <v>32.0244</v>
      </c>
      <c r="J359" s="1" cm="1">
        <f t="array" ref="J359">_FV(Table_0[[#This Row],[Symbol]],"Market cap",TRUE)</f>
        <v>16364902323</v>
      </c>
    </row>
    <row r="360" spans="1:10" x14ac:dyDescent="0.25">
      <c r="A360">
        <v>357</v>
      </c>
      <c r="B360" t="s">
        <v>391</v>
      </c>
      <c r="C360" t="e" vm="357">
        <v>#VALUE!</v>
      </c>
      <c r="D360" t="str" cm="1">
        <f t="array" ref="D360">_FV(Table_0[[#This Row],[Symbol]],"Industry")</f>
        <v>Semiconductors &amp; Semiconductor Equipment</v>
      </c>
      <c r="E360" s="8">
        <v>5.0035999999999997E-2</v>
      </c>
      <c r="F360" s="11">
        <v>340.68</v>
      </c>
      <c r="G360" s="11">
        <v>-26.32</v>
      </c>
      <c r="H360" s="13" t="s">
        <v>845</v>
      </c>
      <c r="I360" s="9" cm="1">
        <f t="array" ref="I360">_FV(Table_0[[#This Row],[Symbol]],"P/E",TRUE)</f>
        <v>45.296700000000001</v>
      </c>
      <c r="J360" s="1" cm="1">
        <f t="array" ref="J360">_FV(Table_0[[#This Row],[Symbol]],"Market cap",TRUE)</f>
        <v>15981403900</v>
      </c>
    </row>
    <row r="361" spans="1:10" x14ac:dyDescent="0.25">
      <c r="A361">
        <v>358</v>
      </c>
      <c r="B361" t="s">
        <v>384</v>
      </c>
      <c r="C361" t="e" vm="358">
        <v>#VALUE!</v>
      </c>
      <c r="D361" t="str" cm="1">
        <f t="array" ref="D361">_FV(Table_0[[#This Row],[Symbol]],"Industry")</f>
        <v>Oil &amp; Gas Related Equipment and Services</v>
      </c>
      <c r="E361" s="8">
        <v>4.9971000000000002E-2</v>
      </c>
      <c r="F361" s="11">
        <v>70.03</v>
      </c>
      <c r="G361" s="11">
        <v>-2.0499999999999998</v>
      </c>
      <c r="H361" s="13" t="s">
        <v>719</v>
      </c>
      <c r="I361" s="9" cm="1">
        <f t="array" ref="I361">_FV(Table_0[[#This Row],[Symbol]],"P/E",TRUE)</f>
        <v>69.319000000000003</v>
      </c>
      <c r="J361" s="1" cm="1">
        <f t="array" ref="J361">_FV(Table_0[[#This Row],[Symbol]],"Market cap",TRUE)</f>
        <v>15846300637</v>
      </c>
    </row>
    <row r="362" spans="1:10" x14ac:dyDescent="0.25">
      <c r="A362">
        <v>359</v>
      </c>
      <c r="B362" t="s">
        <v>380</v>
      </c>
      <c r="C362" t="e" vm="359">
        <v>#VALUE!</v>
      </c>
      <c r="D362" t="str" cm="1">
        <f t="array" ref="D362">_FV(Table_0[[#This Row],[Symbol]],"Industry")</f>
        <v>Specialty Retailers</v>
      </c>
      <c r="E362" s="8">
        <v>4.9925999999999998E-2</v>
      </c>
      <c r="F362" s="11">
        <v>79.02</v>
      </c>
      <c r="G362" s="11">
        <v>-1.61</v>
      </c>
      <c r="H362" s="13" t="s">
        <v>606</v>
      </c>
      <c r="I362" s="9" cm="1">
        <f t="array" ref="I362">_FV(Table_0[[#This Row],[Symbol]],"P/E",TRUE)</f>
        <v>12.052</v>
      </c>
      <c r="J362" s="1" cm="1">
        <f t="array" ref="J362">_FV(Table_0[[#This Row],[Symbol]],"Market cap",TRUE)</f>
        <v>17840550000</v>
      </c>
    </row>
    <row r="363" spans="1:10" x14ac:dyDescent="0.25">
      <c r="A363">
        <v>360</v>
      </c>
      <c r="B363" t="s">
        <v>373</v>
      </c>
      <c r="C363" t="e" vm="360">
        <v>#VALUE!</v>
      </c>
      <c r="D363" t="str" cm="1">
        <f t="array" ref="D363">_FV(Table_0[[#This Row],[Symbol]],"Industry")</f>
        <v>Containers &amp; Packaging</v>
      </c>
      <c r="E363" s="8">
        <v>4.9902000000000002E-2</v>
      </c>
      <c r="F363" s="11">
        <v>50.26</v>
      </c>
      <c r="G363" s="11">
        <v>-1.48</v>
      </c>
      <c r="H363" s="13" t="s">
        <v>679</v>
      </c>
      <c r="I363" s="9" cm="1">
        <f t="array" ref="I363">_FV(Table_0[[#This Row],[Symbol]],"P/E",TRUE)</f>
        <v>17.6843</v>
      </c>
      <c r="J363" s="1" cm="1">
        <f t="array" ref="J363">_FV(Table_0[[#This Row],[Symbol]],"Market cap",TRUE)</f>
        <v>15777624226</v>
      </c>
    </row>
    <row r="364" spans="1:10" x14ac:dyDescent="0.25">
      <c r="A364">
        <v>361</v>
      </c>
      <c r="B364" t="s">
        <v>590</v>
      </c>
      <c r="C364" t="e" vm="361">
        <v>#VALUE!</v>
      </c>
      <c r="D364" t="str" cm="1">
        <f t="array" ref="D364">_FV(Table_0[[#This Row],[Symbol]],"Industry")</f>
        <v>Renewable Energy</v>
      </c>
      <c r="E364" s="8">
        <v>4.9477E-2</v>
      </c>
      <c r="F364" s="11">
        <v>156.65</v>
      </c>
      <c r="G364" s="11">
        <v>-5.41</v>
      </c>
      <c r="H364" s="13" t="s">
        <v>749</v>
      </c>
      <c r="I364" s="9" cm="1">
        <f t="array" ref="I364">_FV(Table_0[[#This Row],[Symbol]],"P/E",TRUE)</f>
        <v>184.03360000000001</v>
      </c>
      <c r="J364" s="1" cm="1">
        <f t="array" ref="J364">_FV(Table_0[[#This Row],[Symbol]],"Market cap",TRUE)</f>
        <v>17276510000</v>
      </c>
    </row>
    <row r="365" spans="1:10" x14ac:dyDescent="0.25">
      <c r="A365">
        <v>362</v>
      </c>
      <c r="B365" t="s">
        <v>389</v>
      </c>
      <c r="C365" t="e" vm="362">
        <v>#VALUE!</v>
      </c>
      <c r="D365" t="str" cm="1">
        <f t="array" ref="D365">_FV(Table_0[[#This Row],[Symbol]],"Industry")</f>
        <v>Media &amp; Publishing</v>
      </c>
      <c r="E365" s="8">
        <v>4.9466000000000003E-2</v>
      </c>
      <c r="F365" s="11">
        <v>77.260000000000005</v>
      </c>
      <c r="G365" s="11">
        <v>-1.51</v>
      </c>
      <c r="H365" s="13" t="s">
        <v>663</v>
      </c>
      <c r="I365" s="9" cm="1">
        <f t="array" ref="I365">_FV(Table_0[[#This Row],[Symbol]],"P/E",TRUE)</f>
        <v>12.845000000000001</v>
      </c>
      <c r="J365" s="1" cm="1">
        <f t="array" ref="J365">_FV(Table_0[[#This Row],[Symbol]],"Market cap",TRUE)</f>
        <v>15754557886</v>
      </c>
    </row>
    <row r="366" spans="1:10" x14ac:dyDescent="0.25">
      <c r="A366">
        <v>363</v>
      </c>
      <c r="B366" t="s">
        <v>378</v>
      </c>
      <c r="C366" t="e" vm="363">
        <v>#VALUE!</v>
      </c>
      <c r="D366" t="str" cm="1">
        <f t="array" ref="D366">_FV(Table_0[[#This Row],[Symbol]],"Industry")</f>
        <v>Professional &amp; Commercial Services</v>
      </c>
      <c r="E366" s="8">
        <v>4.9395000000000001E-2</v>
      </c>
      <c r="F366" s="11">
        <v>133.21</v>
      </c>
      <c r="G366" s="11">
        <v>-3.12</v>
      </c>
      <c r="H366" s="13" t="s">
        <v>638</v>
      </c>
      <c r="I366" s="9" cm="1">
        <f t="array" ref="I366">_FV(Table_0[[#This Row],[Symbol]],"P/E",TRUE)</f>
        <v>30.9543</v>
      </c>
      <c r="J366" s="1" cm="1">
        <f t="array" ref="J366">_FV(Table_0[[#This Row],[Symbol]],"Market cap",TRUE)</f>
        <v>15672862513</v>
      </c>
    </row>
    <row r="367" spans="1:10" x14ac:dyDescent="0.25">
      <c r="A367">
        <v>364</v>
      </c>
      <c r="B367" t="s">
        <v>398</v>
      </c>
      <c r="C367" t="e" vm="364">
        <v>#VALUE!</v>
      </c>
      <c r="D367" t="str" cm="1">
        <f t="array" ref="D367">_FV(Table_0[[#This Row],[Symbol]],"Industry")</f>
        <v>Healthcare Equipment &amp; Supplies</v>
      </c>
      <c r="E367" s="8">
        <v>4.9199E-2</v>
      </c>
      <c r="F367" s="11">
        <v>325.60000000000002</v>
      </c>
      <c r="G367" s="11">
        <v>-3.1</v>
      </c>
      <c r="H367" s="13" t="s">
        <v>846</v>
      </c>
      <c r="I367" s="9" cm="1">
        <f t="array" ref="I367">_FV(Table_0[[#This Row],[Symbol]],"P/E",TRUE)</f>
        <v>42.3521</v>
      </c>
      <c r="J367" s="1" cm="1">
        <f t="array" ref="J367">_FV(Table_0[[#This Row],[Symbol]],"Market cap",TRUE)</f>
        <v>16069539356</v>
      </c>
    </row>
    <row r="368" spans="1:10" x14ac:dyDescent="0.25">
      <c r="A368">
        <v>365</v>
      </c>
      <c r="B368" t="s">
        <v>383</v>
      </c>
      <c r="C368" t="e" vm="365">
        <v>#VALUE!</v>
      </c>
      <c r="D368" t="str" cm="1">
        <f t="array" ref="D368">_FV(Table_0[[#This Row],[Symbol]],"Industry")</f>
        <v>Natural Gas Utilities</v>
      </c>
      <c r="E368" s="8">
        <v>4.8751999999999997E-2</v>
      </c>
      <c r="F368" s="11">
        <v>112.29</v>
      </c>
      <c r="G368" s="11">
        <v>-2.2999999999999998</v>
      </c>
      <c r="H368" s="13" t="s">
        <v>606</v>
      </c>
      <c r="I368" s="9" cm="1">
        <f t="array" ref="I368">_FV(Table_0[[#This Row],[Symbol]],"P/E",TRUE)</f>
        <v>20.402799999999999</v>
      </c>
      <c r="J368" s="1" cm="1">
        <f t="array" ref="J368">_FV(Table_0[[#This Row],[Symbol]],"Market cap",TRUE)</f>
        <v>15833981560</v>
      </c>
    </row>
    <row r="369" spans="1:10" x14ac:dyDescent="0.25">
      <c r="A369">
        <v>366</v>
      </c>
      <c r="B369" t="s">
        <v>372</v>
      </c>
      <c r="C369" t="e" vm="366">
        <v>#VALUE!</v>
      </c>
      <c r="D369" t="str" cm="1">
        <f t="array" ref="D369">_FV(Table_0[[#This Row],[Symbol]],"Industry")</f>
        <v>Chemicals</v>
      </c>
      <c r="E369" s="8">
        <v>4.8583000000000001E-2</v>
      </c>
      <c r="F369" s="11">
        <v>44.06</v>
      </c>
      <c r="G369" s="11">
        <v>-1.79</v>
      </c>
      <c r="H369" s="13" t="s">
        <v>822</v>
      </c>
      <c r="I369" s="9" cm="1">
        <f t="array" ref="I369">_FV(Table_0[[#This Row],[Symbol]],"P/E",TRUE)</f>
        <v>4.4824000000000002</v>
      </c>
      <c r="J369" s="1" cm="1">
        <f t="array" ref="J369">_FV(Table_0[[#This Row],[Symbol]],"Market cap",TRUE)</f>
        <v>15611060000</v>
      </c>
    </row>
    <row r="370" spans="1:10" x14ac:dyDescent="0.25">
      <c r="A370">
        <v>367</v>
      </c>
      <c r="B370" t="s">
        <v>388</v>
      </c>
      <c r="C370" t="e" vm="367">
        <v>#VALUE!</v>
      </c>
      <c r="D370" t="str" cm="1">
        <f t="array" ref="D370">_FV(Table_0[[#This Row],[Symbol]],"Industry")</f>
        <v>Chemicals</v>
      </c>
      <c r="E370" s="8">
        <v>4.836E-2</v>
      </c>
      <c r="F370" s="11">
        <v>123.03</v>
      </c>
      <c r="G370" s="11">
        <v>-2.06</v>
      </c>
      <c r="H370" s="13" t="s">
        <v>633</v>
      </c>
      <c r="I370" s="9" cm="1">
        <f t="array" ref="I370">_FV(Table_0[[#This Row],[Symbol]],"P/E",TRUE)</f>
        <v>21.706700000000001</v>
      </c>
      <c r="J370" s="1" cm="1">
        <f t="array" ref="J370">_FV(Table_0[[#This Row],[Symbol]],"Market cap",TRUE)</f>
        <v>15757080000</v>
      </c>
    </row>
    <row r="371" spans="1:10" x14ac:dyDescent="0.25">
      <c r="A371">
        <v>368</v>
      </c>
      <c r="B371" t="s">
        <v>390</v>
      </c>
      <c r="C371" t="e" vm="368">
        <v>#VALUE!</v>
      </c>
      <c r="D371" t="str" cm="1">
        <f t="array" ref="D371">_FV(Table_0[[#This Row],[Symbol]],"Industry")</f>
        <v>Leisure Products</v>
      </c>
      <c r="E371" s="8">
        <v>4.8136999999999999E-2</v>
      </c>
      <c r="F371" s="11">
        <v>97.68</v>
      </c>
      <c r="G371" s="11">
        <v>-2.21</v>
      </c>
      <c r="H371" s="13" t="s">
        <v>694</v>
      </c>
      <c r="I371" s="9" cm="1">
        <f t="array" ref="I371">_FV(Table_0[[#This Row],[Symbol]],"P/E",TRUE)</f>
        <v>71.5261</v>
      </c>
      <c r="J371" s="1" cm="1">
        <f t="array" ref="J371">_FV(Table_0[[#This Row],[Symbol]],"Market cap",TRUE)</f>
        <v>16391730592</v>
      </c>
    </row>
    <row r="372" spans="1:10" x14ac:dyDescent="0.25">
      <c r="A372">
        <v>369</v>
      </c>
      <c r="B372" t="s">
        <v>377</v>
      </c>
      <c r="C372" t="e" vm="369">
        <v>#VALUE!</v>
      </c>
      <c r="D372" t="str" cm="1">
        <f t="array" ref="D372">_FV(Table_0[[#This Row],[Symbol]],"Industry")</f>
        <v>Banking Services</v>
      </c>
      <c r="E372" s="8">
        <v>4.8077000000000002E-2</v>
      </c>
      <c r="F372" s="11">
        <v>16.739999999999998</v>
      </c>
      <c r="G372" s="11">
        <v>-0.23</v>
      </c>
      <c r="H372" s="13" t="s">
        <v>763</v>
      </c>
      <c r="I372" s="9" cm="1">
        <f t="array" ref="I372">_FV(Table_0[[#This Row],[Symbol]],"P/E",TRUE)</f>
        <v>7.7670000000000003</v>
      </c>
      <c r="J372" s="1" cm="1">
        <f t="array" ref="J372">_FV(Table_0[[#This Row],[Symbol]],"Market cap",TRUE)</f>
        <v>15613246256</v>
      </c>
    </row>
    <row r="373" spans="1:10" x14ac:dyDescent="0.25">
      <c r="A373">
        <v>370</v>
      </c>
      <c r="B373" t="s">
        <v>392</v>
      </c>
      <c r="C373" t="e" vm="370">
        <v>#VALUE!</v>
      </c>
      <c r="D373" t="str" cm="1">
        <f t="array" ref="D373">_FV(Table_0[[#This Row],[Symbol]],"Industry")</f>
        <v>Construction &amp; Engineering</v>
      </c>
      <c r="E373" s="8">
        <v>4.8008000000000002E-2</v>
      </c>
      <c r="F373" s="11">
        <v>118.54</v>
      </c>
      <c r="G373" s="11">
        <v>-2.76</v>
      </c>
      <c r="H373" s="13" t="s">
        <v>706</v>
      </c>
      <c r="I373" s="9" cm="1">
        <f t="array" ref="I373">_FV(Table_0[[#This Row],[Symbol]],"P/E",TRUE)</f>
        <v>24.338999999999999</v>
      </c>
      <c r="J373" s="1" cm="1">
        <f t="array" ref="J373">_FV(Table_0[[#This Row],[Symbol]],"Market cap",TRUE)</f>
        <v>15009769615</v>
      </c>
    </row>
    <row r="374" spans="1:10" x14ac:dyDescent="0.25">
      <c r="A374">
        <v>371</v>
      </c>
      <c r="B374" t="s">
        <v>409</v>
      </c>
      <c r="C374" t="e" vm="371">
        <v>#VALUE!</v>
      </c>
      <c r="D374" t="str" cm="1">
        <f t="array" ref="D374">_FV(Table_0[[#This Row],[Symbol]],"Industry")</f>
        <v>Hotels &amp; Entertainment Services</v>
      </c>
      <c r="E374" s="8">
        <v>4.7285000000000001E-2</v>
      </c>
      <c r="F374" s="11">
        <v>46.19</v>
      </c>
      <c r="G374" s="11">
        <v>-0.7</v>
      </c>
      <c r="H374" s="13" t="s">
        <v>715</v>
      </c>
      <c r="I374" s="9" cm="1">
        <f t="array" ref="I374">_FV(Table_0[[#This Row],[Symbol]],"P/E",TRUE)</f>
        <v>0</v>
      </c>
      <c r="J374" s="1" cm="1">
        <f t="array" ref="J374">_FV(Table_0[[#This Row],[Symbol]],"Market cap",TRUE)</f>
        <v>35304483060</v>
      </c>
    </row>
    <row r="375" spans="1:10" x14ac:dyDescent="0.25">
      <c r="A375">
        <v>372</v>
      </c>
      <c r="B375" t="s">
        <v>403</v>
      </c>
      <c r="C375" t="e" vm="372">
        <v>#VALUE!</v>
      </c>
      <c r="D375" t="str" cm="1">
        <f t="array" ref="D375">_FV(Table_0[[#This Row],[Symbol]],"Industry")</f>
        <v>Oil &amp; Gas</v>
      </c>
      <c r="E375" s="8">
        <v>4.6748999999999999E-2</v>
      </c>
      <c r="F375" s="11">
        <v>44.41</v>
      </c>
      <c r="G375" s="11">
        <v>-2.2599999999999998</v>
      </c>
      <c r="H375" s="13" t="s">
        <v>867</v>
      </c>
      <c r="I375" s="9" cm="1">
        <f t="array" ref="I375">_FV(Table_0[[#This Row],[Symbol]],"P/E",TRUE)</f>
        <v>4.4595000000000002</v>
      </c>
      <c r="J375" s="1" cm="1">
        <f t="array" ref="J375">_FV(Table_0[[#This Row],[Symbol]],"Market cap",TRUE)</f>
        <v>14278339037</v>
      </c>
    </row>
    <row r="376" spans="1:10" x14ac:dyDescent="0.25">
      <c r="A376">
        <v>373</v>
      </c>
      <c r="B376" t="s">
        <v>375</v>
      </c>
      <c r="C376" t="e" vm="373">
        <v>#VALUE!</v>
      </c>
      <c r="D376" t="str" cm="1">
        <f t="array" ref="D376">_FV(Table_0[[#This Row],[Symbol]],"Industry")</f>
        <v>Professional &amp; Commercial Services</v>
      </c>
      <c r="E376" s="8">
        <v>4.6580999999999997E-2</v>
      </c>
      <c r="F376" s="11">
        <v>393.89</v>
      </c>
      <c r="G376" s="11">
        <v>-10.61</v>
      </c>
      <c r="H376" s="13" t="s">
        <v>785</v>
      </c>
      <c r="I376" s="9" cm="1">
        <f t="array" ref="I376">_FV(Table_0[[#This Row],[Symbol]],"P/E",TRUE)</f>
        <v>36.922400000000003</v>
      </c>
      <c r="J376" s="1" cm="1">
        <f t="array" ref="J376">_FV(Table_0[[#This Row],[Symbol]],"Market cap",TRUE)</f>
        <v>15013365555</v>
      </c>
    </row>
    <row r="377" spans="1:10" x14ac:dyDescent="0.25">
      <c r="A377">
        <v>374</v>
      </c>
      <c r="B377" t="s">
        <v>393</v>
      </c>
      <c r="C377" t="e" vm="374">
        <v>#VALUE!</v>
      </c>
      <c r="D377" t="str" cm="1">
        <f t="array" ref="D377">_FV(Table_0[[#This Row],[Symbol]],"Industry")</f>
        <v>Software &amp; IT Services</v>
      </c>
      <c r="E377" s="8">
        <v>4.6457999999999999E-2</v>
      </c>
      <c r="F377" s="11">
        <v>296.52</v>
      </c>
      <c r="G377" s="11">
        <v>-13.84</v>
      </c>
      <c r="H377" s="13" t="s">
        <v>806</v>
      </c>
      <c r="I377" s="9" cm="1">
        <f t="array" ref="I377">_FV(Table_0[[#This Row],[Symbol]],"P/E",TRUE)</f>
        <v>72.140199999999993</v>
      </c>
      <c r="J377" s="1" cm="1">
        <f t="array" ref="J377">_FV(Table_0[[#This Row],[Symbol]],"Market cap",TRUE)</f>
        <v>17158562719</v>
      </c>
    </row>
    <row r="378" spans="1:10" x14ac:dyDescent="0.25">
      <c r="A378">
        <v>375</v>
      </c>
      <c r="B378" t="s">
        <v>396</v>
      </c>
      <c r="C378" t="e" vm="375">
        <v>#VALUE!</v>
      </c>
      <c r="D378" t="str" cm="1">
        <f t="array" ref="D378">_FV(Table_0[[#This Row],[Symbol]],"Industry")</f>
        <v>Insurance</v>
      </c>
      <c r="E378" s="8">
        <v>4.6257E-2</v>
      </c>
      <c r="F378" s="11">
        <v>72.63</v>
      </c>
      <c r="G378" s="11">
        <v>-1.24</v>
      </c>
      <c r="H378" s="13" t="s">
        <v>713</v>
      </c>
      <c r="I378" s="9" cm="1">
        <f t="array" ref="I378">_FV(Table_0[[#This Row],[Symbol]],"P/E",TRUE)</f>
        <v>17.2439</v>
      </c>
      <c r="J378" s="1" cm="1">
        <f t="array" ref="J378">_FV(Table_0[[#This Row],[Symbol]],"Market cap",TRUE)</f>
        <v>19288166045</v>
      </c>
    </row>
    <row r="379" spans="1:10" x14ac:dyDescent="0.25">
      <c r="A379">
        <v>376</v>
      </c>
      <c r="B379" t="s">
        <v>367</v>
      </c>
      <c r="C379" t="e" vm="376">
        <v>#VALUE!</v>
      </c>
      <c r="D379" t="str" cm="1">
        <f t="array" ref="D379">_FV(Table_0[[#This Row],[Symbol]],"Industry")</f>
        <v>Banking Services</v>
      </c>
      <c r="E379" s="8">
        <v>4.6172999999999999E-2</v>
      </c>
      <c r="F379" s="11">
        <v>31.79</v>
      </c>
      <c r="G379" s="11">
        <v>-1.49</v>
      </c>
      <c r="H379" s="13" t="s">
        <v>764</v>
      </c>
      <c r="I379" s="9" cm="1">
        <f t="array" ref="I379">_FV(Table_0[[#This Row],[Symbol]],"P/E",TRUE)</f>
        <v>5.2648999999999999</v>
      </c>
      <c r="J379" s="1" cm="1">
        <f t="array" ref="J379">_FV(Table_0[[#This Row],[Symbol]],"Market cap",TRUE)</f>
        <v>14322711106</v>
      </c>
    </row>
    <row r="380" spans="1:10" x14ac:dyDescent="0.25">
      <c r="A380">
        <v>377</v>
      </c>
      <c r="B380" t="s">
        <v>402</v>
      </c>
      <c r="C380" t="e" vm="377">
        <v>#VALUE!</v>
      </c>
      <c r="D380" t="str" cm="1">
        <f t="array" ref="D380">_FV(Table_0[[#This Row],[Symbol]],"Industry")</f>
        <v>Aerospace &amp; Defense</v>
      </c>
      <c r="E380" s="8">
        <v>4.6130999999999998E-2</v>
      </c>
      <c r="F380" s="11">
        <v>69.37</v>
      </c>
      <c r="G380" s="11">
        <v>-1.72</v>
      </c>
      <c r="H380" s="13" t="s">
        <v>714</v>
      </c>
      <c r="I380" s="9" cm="1">
        <f t="array" ref="I380">_FV(Table_0[[#This Row],[Symbol]],"P/E",TRUE)</f>
        <v>18.368600000000001</v>
      </c>
      <c r="J380" s="1" cm="1">
        <f t="array" ref="J380">_FV(Table_0[[#This Row],[Symbol]],"Market cap",TRUE)</f>
        <v>14841560000</v>
      </c>
    </row>
    <row r="381" spans="1:10" x14ac:dyDescent="0.25">
      <c r="A381">
        <v>378</v>
      </c>
      <c r="B381" t="s">
        <v>408</v>
      </c>
      <c r="C381" t="e" vm="378">
        <v>#VALUE!</v>
      </c>
      <c r="D381" t="str" cm="1">
        <f t="array" ref="D381">_FV(Table_0[[#This Row],[Symbol]],"Industry")</f>
        <v>Pharmaceuticals</v>
      </c>
      <c r="E381" s="8">
        <v>4.6038000000000003E-2</v>
      </c>
      <c r="F381" s="11">
        <v>80.239999999999995</v>
      </c>
      <c r="G381" s="11">
        <v>-0.28000000000000003</v>
      </c>
      <c r="H381" s="13" t="s">
        <v>597</v>
      </c>
      <c r="I381" s="9" cm="1">
        <f t="array" ref="I381">_FV(Table_0[[#This Row],[Symbol]],"P/E",TRUE)</f>
        <v>20.459299999999999</v>
      </c>
      <c r="J381" s="1" cm="1">
        <f t="array" ref="J381">_FV(Table_0[[#This Row],[Symbol]],"Market cap",TRUE)</f>
        <v>17913720000</v>
      </c>
    </row>
    <row r="382" spans="1:10" x14ac:dyDescent="0.25">
      <c r="A382">
        <v>379</v>
      </c>
      <c r="B382" t="s">
        <v>419</v>
      </c>
      <c r="C382" t="e" vm="379">
        <v>#VALUE!</v>
      </c>
      <c r="D382" t="str" cm="1">
        <f t="array" ref="D382">_FV(Table_0[[#This Row],[Symbol]],"Industry")</f>
        <v>Healthcare Equipment &amp; Supplies</v>
      </c>
      <c r="E382" s="8">
        <v>4.5616999999999998E-2</v>
      </c>
      <c r="F382" s="11">
        <v>197.88</v>
      </c>
      <c r="G382" s="11">
        <v>-6.41</v>
      </c>
      <c r="H382" s="13" t="s">
        <v>868</v>
      </c>
      <c r="I382" s="9" cm="1">
        <f t="array" ref="I382">_FV(Table_0[[#This Row],[Symbol]],"P/E",TRUE)</f>
        <v>31.628599999999999</v>
      </c>
      <c r="J382" s="1" cm="1">
        <f t="array" ref="J382">_FV(Table_0[[#This Row],[Symbol]],"Market cap",TRUE)</f>
        <v>15456481256</v>
      </c>
    </row>
    <row r="383" spans="1:10" x14ac:dyDescent="0.25">
      <c r="A383">
        <v>380</v>
      </c>
      <c r="B383" t="s">
        <v>394</v>
      </c>
      <c r="C383" t="e" vm="380">
        <v>#VALUE!</v>
      </c>
      <c r="D383" t="str" cm="1">
        <f t="array" ref="D383">_FV(Table_0[[#This Row],[Symbol]],"Industry")</f>
        <v>Containers &amp; Packaging</v>
      </c>
      <c r="E383" s="8">
        <v>4.5571E-2</v>
      </c>
      <c r="F383" s="11">
        <v>176.75</v>
      </c>
      <c r="G383" s="11">
        <v>-4.1900000000000004</v>
      </c>
      <c r="H383" s="13" t="s">
        <v>816</v>
      </c>
      <c r="I383" s="9" cm="1">
        <f t="array" ref="I383">_FV(Table_0[[#This Row],[Symbol]],"P/E",TRUE)</f>
        <v>18.288399999999999</v>
      </c>
      <c r="J383" s="1" cm="1">
        <f t="array" ref="J383">_FV(Table_0[[#This Row],[Symbol]],"Market cap",TRUE)</f>
        <v>14310867672</v>
      </c>
    </row>
    <row r="384" spans="1:10" x14ac:dyDescent="0.25">
      <c r="A384">
        <v>381</v>
      </c>
      <c r="B384" t="s">
        <v>404</v>
      </c>
      <c r="C384" t="e" vm="381">
        <v>#VALUE!</v>
      </c>
      <c r="D384" t="str" cm="1">
        <f t="array" ref="D384">_FV(Table_0[[#This Row],[Symbol]],"Industry")</f>
        <v>Freight &amp; Logistics Services</v>
      </c>
      <c r="E384" s="8">
        <v>4.5477999999999998E-2</v>
      </c>
      <c r="F384" s="11">
        <v>173.71</v>
      </c>
      <c r="G384" s="11">
        <v>-4.26</v>
      </c>
      <c r="H384" s="13" t="s">
        <v>745</v>
      </c>
      <c r="I384" s="9" cm="1">
        <f t="array" ref="I384">_FV(Table_0[[#This Row],[Symbol]],"P/E",TRUE)</f>
        <v>18.6111</v>
      </c>
      <c r="J384" s="1" cm="1">
        <f t="array" ref="J384">_FV(Table_0[[#This Row],[Symbol]],"Market cap",TRUE)</f>
        <v>17985481754</v>
      </c>
    </row>
    <row r="385" spans="1:10" x14ac:dyDescent="0.25">
      <c r="A385">
        <v>382</v>
      </c>
      <c r="B385" t="s">
        <v>405</v>
      </c>
      <c r="C385" t="e" vm="382">
        <v>#VALUE!</v>
      </c>
      <c r="D385" t="str" cm="1">
        <f t="array" ref="D385">_FV(Table_0[[#This Row],[Symbol]],"Industry")</f>
        <v>Semiconductors &amp; Semiconductor Equipment</v>
      </c>
      <c r="E385" s="8">
        <v>4.5200999999999998E-2</v>
      </c>
      <c r="F385" s="11">
        <v>86.53</v>
      </c>
      <c r="G385" s="11">
        <v>-5.37</v>
      </c>
      <c r="H385" s="13" t="s">
        <v>739</v>
      </c>
      <c r="I385" s="9" cm="1">
        <f t="array" ref="I385">_FV(Table_0[[#This Row],[Symbol]],"P/E",TRUE)</f>
        <v>11.787100000000001</v>
      </c>
      <c r="J385" s="1" cm="1">
        <f t="array" ref="J385">_FV(Table_0[[#This Row],[Symbol]],"Market cap",TRUE)</f>
        <v>13858739983</v>
      </c>
    </row>
    <row r="386" spans="1:10" x14ac:dyDescent="0.25">
      <c r="A386">
        <v>383</v>
      </c>
      <c r="B386" t="s">
        <v>395</v>
      </c>
      <c r="C386" t="e" vm="383">
        <v>#VALUE!</v>
      </c>
      <c r="D386" t="str" cm="1">
        <f t="array" ref="D386">_FV(Table_0[[#This Row],[Symbol]],"Industry")</f>
        <v>Residential &amp; Commercial REIT</v>
      </c>
      <c r="E386" s="8">
        <v>4.4798999999999999E-2</v>
      </c>
      <c r="F386" s="11">
        <v>49.92</v>
      </c>
      <c r="G386" s="11">
        <v>-0.79</v>
      </c>
      <c r="H386" s="13" t="s">
        <v>796</v>
      </c>
      <c r="I386" s="9" cm="1">
        <f t="array" ref="I386">_FV(Table_0[[#This Row],[Symbol]],"P/E",TRUE)</f>
        <v>29.866800000000001</v>
      </c>
      <c r="J386" s="1" cm="1">
        <f t="array" ref="J386">_FV(Table_0[[#This Row],[Symbol]],"Market cap",TRUE)</f>
        <v>14512447872</v>
      </c>
    </row>
    <row r="387" spans="1:10" x14ac:dyDescent="0.25">
      <c r="A387">
        <v>384</v>
      </c>
      <c r="B387" t="s">
        <v>421</v>
      </c>
      <c r="C387" t="e" vm="384">
        <v>#VALUE!</v>
      </c>
      <c r="D387" t="str" cm="1">
        <f t="array" ref="D387">_FV(Table_0[[#This Row],[Symbol]],"Industry")</f>
        <v>Homebuilding &amp; Construction Supplies</v>
      </c>
      <c r="E387" s="8">
        <v>4.4641E-2</v>
      </c>
      <c r="F387" s="11">
        <v>4640.0200000000004</v>
      </c>
      <c r="G387" s="11">
        <v>-64.94</v>
      </c>
      <c r="H387" s="13" t="s">
        <v>629</v>
      </c>
      <c r="I387" s="9" cm="1">
        <f t="array" ref="I387">_FV(Table_0[[#This Row],[Symbol]],"P/E",TRUE)</f>
        <v>10.507099999999999</v>
      </c>
      <c r="J387" s="1" cm="1">
        <f t="array" ref="J387">_FV(Table_0[[#This Row],[Symbol]],"Market cap",TRUE)</f>
        <v>15036520000</v>
      </c>
    </row>
    <row r="388" spans="1:10" x14ac:dyDescent="0.25">
      <c r="A388">
        <v>385</v>
      </c>
      <c r="B388" t="s">
        <v>401</v>
      </c>
      <c r="C388" t="e" vm="385">
        <v>#VALUE!</v>
      </c>
      <c r="D388" t="str" cm="1">
        <f t="array" ref="D388">_FV(Table_0[[#This Row],[Symbol]],"Industry")</f>
        <v>Software &amp; IT Services</v>
      </c>
      <c r="E388" s="8">
        <v>4.4299999999999999E-2</v>
      </c>
      <c r="F388" s="11">
        <v>103.82</v>
      </c>
      <c r="G388" s="11">
        <v>-2.0099999999999998</v>
      </c>
      <c r="H388" s="13" t="s">
        <v>746</v>
      </c>
      <c r="I388" s="9" cm="1">
        <f t="array" ref="I388">_FV(Table_0[[#This Row],[Symbol]],"P/E",TRUE)</f>
        <v>21.6873</v>
      </c>
      <c r="J388" s="1" cm="1">
        <f t="array" ref="J388">_FV(Table_0[[#This Row],[Symbol]],"Market cap",TRUE)</f>
        <v>14187013584</v>
      </c>
    </row>
    <row r="389" spans="1:10" x14ac:dyDescent="0.25">
      <c r="A389">
        <v>386</v>
      </c>
      <c r="B389" t="s">
        <v>424</v>
      </c>
      <c r="C389" t="e" vm="386">
        <v>#VALUE!</v>
      </c>
      <c r="D389" t="str" cm="1">
        <f t="array" ref="D389">_FV(Table_0[[#This Row],[Symbol]],"Industry")</f>
        <v>Aerospace &amp; Defense</v>
      </c>
      <c r="E389" s="8">
        <v>4.4256999999999998E-2</v>
      </c>
      <c r="F389" s="11">
        <v>38.03</v>
      </c>
      <c r="G389" s="11">
        <v>-1.03</v>
      </c>
      <c r="H389" s="13" t="s">
        <v>785</v>
      </c>
      <c r="I389" s="9" cm="1">
        <f t="array" ref="I389">_FV(Table_0[[#This Row],[Symbol]],"P/E",TRUE)</f>
        <v>37.931399999999996</v>
      </c>
      <c r="J389" s="1" cm="1">
        <f t="array" ref="J389">_FV(Table_0[[#This Row],[Symbol]],"Market cap",TRUE)</f>
        <v>16155460000</v>
      </c>
    </row>
    <row r="390" spans="1:10" x14ac:dyDescent="0.25">
      <c r="A390">
        <v>387</v>
      </c>
      <c r="B390" t="s">
        <v>430</v>
      </c>
      <c r="C390" t="e" vm="387">
        <v>#VALUE!</v>
      </c>
      <c r="D390" t="str" cm="1">
        <f t="array" ref="D390">_FV(Table_0[[#This Row],[Symbol]],"Industry")</f>
        <v>Electrical Utilities &amp; IPPs</v>
      </c>
      <c r="E390" s="8">
        <v>4.385E-2</v>
      </c>
      <c r="F390" s="11">
        <v>61.95</v>
      </c>
      <c r="G390" s="11">
        <v>-1.07</v>
      </c>
      <c r="H390" s="13" t="s">
        <v>769</v>
      </c>
      <c r="I390" s="9" cm="1">
        <f t="array" ref="I390">_FV(Table_0[[#This Row],[Symbol]],"P/E",TRUE)</f>
        <v>18.188099999999999</v>
      </c>
      <c r="J390" s="1" cm="1">
        <f t="array" ref="J390">_FV(Table_0[[#This Row],[Symbol]],"Market cap",TRUE)</f>
        <v>14219779980</v>
      </c>
    </row>
    <row r="391" spans="1:10" x14ac:dyDescent="0.25">
      <c r="A391">
        <v>388</v>
      </c>
      <c r="B391" t="s">
        <v>417</v>
      </c>
      <c r="C391" t="e" vm="388">
        <v>#VALUE!</v>
      </c>
      <c r="D391" t="str" cm="1">
        <f t="array" ref="D391">_FV(Table_0[[#This Row],[Symbol]],"Industry")</f>
        <v>Communications &amp; Networking</v>
      </c>
      <c r="E391" s="8">
        <v>4.3577999999999999E-2</v>
      </c>
      <c r="F391" s="11">
        <v>89.63</v>
      </c>
      <c r="G391" s="11">
        <v>-2.4300000000000002</v>
      </c>
      <c r="H391" s="13" t="s">
        <v>705</v>
      </c>
      <c r="I391" s="9" cm="1">
        <f t="array" ref="I391">_FV(Table_0[[#This Row],[Symbol]],"P/E",TRUE)</f>
        <v>18.418700000000001</v>
      </c>
      <c r="J391" s="1" cm="1">
        <f t="array" ref="J391">_FV(Table_0[[#This Row],[Symbol]],"Market cap",TRUE)</f>
        <v>17182668635</v>
      </c>
    </row>
    <row r="392" spans="1:10" x14ac:dyDescent="0.25">
      <c r="A392">
        <v>389</v>
      </c>
      <c r="B392" t="s">
        <v>414</v>
      </c>
      <c r="C392" t="e" vm="389">
        <v>#VALUE!</v>
      </c>
      <c r="D392" t="str" cm="1">
        <f t="array" ref="D392">_FV(Table_0[[#This Row],[Symbol]],"Industry")</f>
        <v>Automobiles &amp; Auto Parts</v>
      </c>
      <c r="E392" s="8">
        <v>4.3472999999999998E-2</v>
      </c>
      <c r="F392" s="11">
        <v>52.38</v>
      </c>
      <c r="G392" s="11">
        <v>-1.98</v>
      </c>
      <c r="H392" s="13" t="s">
        <v>793</v>
      </c>
      <c r="I392" s="9" cm="1">
        <f t="array" ref="I392">_FV(Table_0[[#This Row],[Symbol]],"P/E",TRUE)</f>
        <v>12.976599999999999</v>
      </c>
      <c r="J392" s="1" cm="1">
        <f t="array" ref="J392">_FV(Table_0[[#This Row],[Symbol]],"Market cap",TRUE)</f>
        <v>13994626500</v>
      </c>
    </row>
    <row r="393" spans="1:10" x14ac:dyDescent="0.25">
      <c r="A393">
        <v>390</v>
      </c>
      <c r="B393" t="s">
        <v>412</v>
      </c>
      <c r="C393" t="e" vm="390">
        <v>#VALUE!</v>
      </c>
      <c r="D393" t="str" cm="1">
        <f t="array" ref="D393">_FV(Table_0[[#This Row],[Symbol]],"Industry")</f>
        <v>Semiconductors &amp; Semiconductor Equipment</v>
      </c>
      <c r="E393" s="8">
        <v>4.3189999999999999E-2</v>
      </c>
      <c r="F393" s="11">
        <v>83.87</v>
      </c>
      <c r="G393" s="11">
        <v>-5.88</v>
      </c>
      <c r="H393" s="13" t="s">
        <v>869</v>
      </c>
      <c r="I393" s="9" cm="1">
        <f t="array" ref="I393">_FV(Table_0[[#This Row],[Symbol]],"P/E",TRUE)</f>
        <v>20.2286</v>
      </c>
      <c r="J393" s="1" cm="1">
        <f t="array" ref="J393">_FV(Table_0[[#This Row],[Symbol]],"Market cap",TRUE)</f>
        <v>13058591424</v>
      </c>
    </row>
    <row r="394" spans="1:10" x14ac:dyDescent="0.25">
      <c r="A394">
        <v>391</v>
      </c>
      <c r="B394" t="s">
        <v>433</v>
      </c>
      <c r="C394" t="e" vm="391">
        <v>#VALUE!</v>
      </c>
      <c r="D394" t="str" cm="1">
        <f t="array" ref="D394">_FV(Table_0[[#This Row],[Symbol]],"Industry")</f>
        <v>Software &amp; IT Services</v>
      </c>
      <c r="E394" s="8">
        <v>4.2271000000000003E-2</v>
      </c>
      <c r="F394" s="11">
        <v>315.87</v>
      </c>
      <c r="G394" s="11">
        <v>-13.75</v>
      </c>
      <c r="H394" s="13" t="s">
        <v>747</v>
      </c>
      <c r="I394" s="9" cm="1">
        <f t="array" ref="I394">_FV(Table_0[[#This Row],[Symbol]],"P/E",TRUE)</f>
        <v>74.420900000000003</v>
      </c>
      <c r="J394" s="1" cm="1">
        <f t="array" ref="J394">_FV(Table_0[[#This Row],[Symbol]],"Market cap",TRUE)</f>
        <v>13169659372</v>
      </c>
    </row>
    <row r="395" spans="1:10" x14ac:dyDescent="0.25">
      <c r="A395">
        <v>392</v>
      </c>
      <c r="B395" t="s">
        <v>416</v>
      </c>
      <c r="C395" t="e" vm="392">
        <v>#VALUE!</v>
      </c>
      <c r="D395" t="str" cm="1">
        <f t="array" ref="D395">_FV(Table_0[[#This Row],[Symbol]],"Industry")</f>
        <v>Electrical Utilities &amp; IPPs</v>
      </c>
      <c r="E395" s="8">
        <v>4.1915000000000001E-2</v>
      </c>
      <c r="F395" s="11">
        <v>54.12</v>
      </c>
      <c r="G395" s="11">
        <v>-0.96</v>
      </c>
      <c r="H395" s="13" t="s">
        <v>612</v>
      </c>
      <c r="I395" s="9" cm="1">
        <f t="array" ref="I395">_FV(Table_0[[#This Row],[Symbol]],"P/E",TRUE)</f>
        <v>20.766400000000001</v>
      </c>
      <c r="J395" s="1" cm="1">
        <f t="array" ref="J395">_FV(Table_0[[#This Row],[Symbol]],"Market cap",TRUE)</f>
        <v>13580279380</v>
      </c>
    </row>
    <row r="396" spans="1:10" x14ac:dyDescent="0.25">
      <c r="A396">
        <v>393</v>
      </c>
      <c r="B396" t="s">
        <v>413</v>
      </c>
      <c r="C396" t="e" vm="393">
        <v>#VALUE!</v>
      </c>
      <c r="D396" t="str" cm="1">
        <f t="array" ref="D396">_FV(Table_0[[#This Row],[Symbol]],"Industry")</f>
        <v>Professional &amp; Commercial Services</v>
      </c>
      <c r="E396" s="8">
        <v>4.1836999999999999E-2</v>
      </c>
      <c r="F396" s="11">
        <v>175.74</v>
      </c>
      <c r="G396" s="11">
        <v>-6.11</v>
      </c>
      <c r="H396" s="13" t="s">
        <v>847</v>
      </c>
      <c r="I396" s="9" cm="1">
        <f t="array" ref="I396">_FV(Table_0[[#This Row],[Symbol]],"P/E",TRUE)</f>
        <v>14.9612</v>
      </c>
      <c r="J396" s="1" cm="1">
        <f t="array" ref="J396">_FV(Table_0[[#This Row],[Symbol]],"Market cap",TRUE)</f>
        <v>12961239746</v>
      </c>
    </row>
    <row r="397" spans="1:10" x14ac:dyDescent="0.25">
      <c r="A397">
        <v>394</v>
      </c>
      <c r="B397" t="s">
        <v>425</v>
      </c>
      <c r="C397" t="e" vm="394">
        <v>#VALUE!</v>
      </c>
      <c r="D397" t="str" cm="1">
        <f t="array" ref="D397">_FV(Table_0[[#This Row],[Symbol]],"Industry")</f>
        <v>Residential &amp; Commercial REIT</v>
      </c>
      <c r="E397" s="8">
        <v>4.1312000000000001E-2</v>
      </c>
      <c r="F397" s="11">
        <v>206.45</v>
      </c>
      <c r="G397" s="11">
        <v>-2.41</v>
      </c>
      <c r="H397" s="13" t="s">
        <v>736</v>
      </c>
      <c r="I397" s="9" cm="1">
        <f t="array" ref="I397">_FV(Table_0[[#This Row],[Symbol]],"P/E",TRUE)</f>
        <v>37.819699999999997</v>
      </c>
      <c r="J397" s="1" cm="1">
        <f t="array" ref="J397">_FV(Table_0[[#This Row],[Symbol]],"Market cap",TRUE)</f>
        <v>13368100305</v>
      </c>
    </row>
    <row r="398" spans="1:10" x14ac:dyDescent="0.25">
      <c r="A398">
        <v>395</v>
      </c>
      <c r="B398" t="s">
        <v>397</v>
      </c>
      <c r="C398" t="e" vm="395">
        <v>#VALUE!</v>
      </c>
      <c r="D398" t="str" cm="1">
        <f t="array" ref="D398">_FV(Table_0[[#This Row],[Symbol]],"Industry")</f>
        <v>Oil &amp; Gas</v>
      </c>
      <c r="E398" s="8">
        <v>4.1044999999999998E-2</v>
      </c>
      <c r="F398" s="11">
        <v>34.880000000000003</v>
      </c>
      <c r="G398" s="11">
        <v>-1.76</v>
      </c>
      <c r="H398" s="13" t="s">
        <v>836</v>
      </c>
      <c r="I398" s="9" cm="1">
        <f t="array" ref="I398">_FV(Table_0[[#This Row],[Symbol]],"P/E",TRUE)</f>
        <v>7.9725000000000001</v>
      </c>
      <c r="J398" s="1" cm="1">
        <f t="array" ref="J398">_FV(Table_0[[#This Row],[Symbol]],"Market cap",TRUE)</f>
        <v>12801830388</v>
      </c>
    </row>
    <row r="399" spans="1:10" x14ac:dyDescent="0.25">
      <c r="A399">
        <v>396</v>
      </c>
      <c r="B399" t="s">
        <v>432</v>
      </c>
      <c r="C399" t="e" vm="396">
        <v>#VALUE!</v>
      </c>
      <c r="D399" t="str" cm="1">
        <f t="array" ref="D399">_FV(Table_0[[#This Row],[Symbol]],"Industry")</f>
        <v>Residential &amp; Commercial REIT</v>
      </c>
      <c r="E399" s="8">
        <v>4.1019E-2</v>
      </c>
      <c r="F399" s="11">
        <v>24.55</v>
      </c>
      <c r="G399" s="11">
        <v>-0.48</v>
      </c>
      <c r="H399" s="13" t="s">
        <v>663</v>
      </c>
      <c r="I399" s="9" cm="1">
        <f t="array" ref="I399">_FV(Table_0[[#This Row],[Symbol]],"P/E",TRUE)</f>
        <v>26.4971</v>
      </c>
      <c r="J399" s="1" cm="1">
        <f t="array" ref="J399">_FV(Table_0[[#This Row],[Symbol]],"Market cap",TRUE)</f>
        <v>13191236508</v>
      </c>
    </row>
    <row r="400" spans="1:10" x14ac:dyDescent="0.25">
      <c r="A400">
        <v>397</v>
      </c>
      <c r="B400" t="s">
        <v>436</v>
      </c>
      <c r="C400" t="e" vm="397">
        <v>#VALUE!</v>
      </c>
      <c r="D400" t="str" cm="1">
        <f t="array" ref="D400">_FV(Table_0[[#This Row],[Symbol]],"Industry")</f>
        <v>Investment Banking &amp; Investment Services</v>
      </c>
      <c r="E400" s="8">
        <v>4.0911999999999997E-2</v>
      </c>
      <c r="F400" s="11">
        <v>123.09</v>
      </c>
      <c r="G400" s="11">
        <v>-3.1</v>
      </c>
      <c r="H400" s="13" t="s">
        <v>743</v>
      </c>
      <c r="I400" s="9" cm="1">
        <f t="array" ref="I400">_FV(Table_0[[#This Row],[Symbol]],"P/E",TRUE)</f>
        <v>62.533999999999999</v>
      </c>
      <c r="J400" s="1" cm="1">
        <f t="array" ref="J400">_FV(Table_0[[#This Row],[Symbol]],"Market cap",TRUE)</f>
        <v>13059779642</v>
      </c>
    </row>
    <row r="401" spans="1:10" x14ac:dyDescent="0.25">
      <c r="A401">
        <v>398</v>
      </c>
      <c r="B401" t="s">
        <v>387</v>
      </c>
      <c r="C401" t="e" vm="398">
        <v>#VALUE!</v>
      </c>
      <c r="D401" t="str" cm="1">
        <f t="array" ref="D401">_FV(Table_0[[#This Row],[Symbol]],"Industry")</f>
        <v>Computers, Phones &amp; Household Electronics</v>
      </c>
      <c r="E401" s="8">
        <v>4.0904999999999997E-2</v>
      </c>
      <c r="F401" s="11">
        <v>58.43</v>
      </c>
      <c r="G401" s="11">
        <v>-1.62</v>
      </c>
      <c r="H401" s="13" t="s">
        <v>766</v>
      </c>
      <c r="I401" s="9" cm="1">
        <f t="array" ref="I401">_FV(Table_0[[#This Row],[Symbol]],"P/E",TRUE)</f>
        <v>9.1042000000000005</v>
      </c>
      <c r="J401" s="1" cm="1">
        <f t="array" ref="J401">_FV(Table_0[[#This Row],[Symbol]],"Market cap",TRUE)</f>
        <v>12597031629</v>
      </c>
    </row>
    <row r="402" spans="1:10" x14ac:dyDescent="0.25">
      <c r="A402">
        <v>399</v>
      </c>
      <c r="B402" t="s">
        <v>406</v>
      </c>
      <c r="C402" t="e" vm="399">
        <v>#VALUE!</v>
      </c>
      <c r="D402" t="str" cm="1">
        <f t="array" ref="D402">_FV(Table_0[[#This Row],[Symbol]],"Industry")</f>
        <v>Software &amp; IT Services</v>
      </c>
      <c r="E402" s="8">
        <v>4.0816999999999999E-2</v>
      </c>
      <c r="F402" s="11">
        <v>81.59</v>
      </c>
      <c r="G402" s="11">
        <v>-2.17</v>
      </c>
      <c r="H402" s="13" t="s">
        <v>693</v>
      </c>
      <c r="I402" s="9" cm="1">
        <f t="array" ref="I402">_FV(Table_0[[#This Row],[Symbol]],"P/E",TRUE)</f>
        <v>26.841000000000001</v>
      </c>
      <c r="J402" s="1" cm="1">
        <f t="array" ref="J402">_FV(Table_0[[#This Row],[Symbol]],"Market cap",TRUE)</f>
        <v>13170610000</v>
      </c>
    </row>
    <row r="403" spans="1:10" x14ac:dyDescent="0.25">
      <c r="A403">
        <v>400</v>
      </c>
      <c r="B403" t="s">
        <v>438</v>
      </c>
      <c r="C403" t="e" vm="400">
        <v>#VALUE!</v>
      </c>
      <c r="D403" t="str" cm="1">
        <f t="array" ref="D403">_FV(Table_0[[#This Row],[Symbol]],"Industry")</f>
        <v>Insurance</v>
      </c>
      <c r="E403" s="8">
        <v>4.0592999999999997E-2</v>
      </c>
      <c r="F403" s="11">
        <v>331.71</v>
      </c>
      <c r="G403" s="11">
        <v>-3.52</v>
      </c>
      <c r="H403" s="13" t="s">
        <v>611</v>
      </c>
      <c r="I403" s="9" cm="1">
        <f t="array" ref="I403">_FV(Table_0[[#This Row],[Symbol]],"P/E",TRUE)</f>
        <v>25.024899999999999</v>
      </c>
      <c r="J403" s="1" cm="1">
        <f t="array" ref="J403">_FV(Table_0[[#This Row],[Symbol]],"Market cap",TRUE)</f>
        <v>12991432101</v>
      </c>
    </row>
    <row r="404" spans="1:10" x14ac:dyDescent="0.25">
      <c r="A404">
        <v>401</v>
      </c>
      <c r="B404" t="s">
        <v>428</v>
      </c>
      <c r="C404" t="e" vm="401">
        <v>#VALUE!</v>
      </c>
      <c r="D404" t="str" cm="1">
        <f t="array" ref="D404">_FV(Table_0[[#This Row],[Symbol]],"Industry")</f>
        <v>Insurance</v>
      </c>
      <c r="E404" s="8">
        <v>4.0502999999999997E-2</v>
      </c>
      <c r="F404" s="11">
        <v>56.11</v>
      </c>
      <c r="G404" s="11">
        <v>-0.87</v>
      </c>
      <c r="H404" s="13" t="s">
        <v>711</v>
      </c>
      <c r="I404" s="9" cm="1">
        <f t="array" ref="I404">_FV(Table_0[[#This Row],[Symbol]],"P/E",TRUE)</f>
        <v>25.7469</v>
      </c>
      <c r="J404" s="1" cm="1">
        <f t="array" ref="J404">_FV(Table_0[[#This Row],[Symbol]],"Market cap",TRUE)</f>
        <v>15895857200</v>
      </c>
    </row>
    <row r="405" spans="1:10" x14ac:dyDescent="0.25">
      <c r="A405">
        <v>402</v>
      </c>
      <c r="B405" t="s">
        <v>411</v>
      </c>
      <c r="C405" t="e" vm="402">
        <v>#VALUE!</v>
      </c>
      <c r="D405" t="str" cm="1">
        <f t="array" ref="D405">_FV(Table_0[[#This Row],[Symbol]],"Industry")</f>
        <v>Food &amp; Tobacco</v>
      </c>
      <c r="E405" s="8">
        <v>4.0326000000000001E-2</v>
      </c>
      <c r="F405" s="11">
        <v>44.98</v>
      </c>
      <c r="G405" s="11">
        <v>-0.44</v>
      </c>
      <c r="H405" s="13" t="s">
        <v>628</v>
      </c>
      <c r="I405" s="9" cm="1">
        <f t="array" ref="I405">_FV(Table_0[[#This Row],[Symbol]],"P/E",TRUE)</f>
        <v>24.956900000000001</v>
      </c>
      <c r="J405" s="1" cm="1">
        <f t="array" ref="J405">_FV(Table_0[[#This Row],[Symbol]],"Market cap",TRUE)</f>
        <v>24572696274</v>
      </c>
    </row>
    <row r="406" spans="1:10" x14ac:dyDescent="0.25">
      <c r="A406">
        <v>403</v>
      </c>
      <c r="B406" t="s">
        <v>420</v>
      </c>
      <c r="C406" t="e" vm="403">
        <v>#VALUE!</v>
      </c>
      <c r="D406" t="str" cm="1">
        <f t="array" ref="D406">_FV(Table_0[[#This Row],[Symbol]],"Industry")</f>
        <v>Software &amp; IT Services</v>
      </c>
      <c r="E406" s="8">
        <v>3.9993000000000001E-2</v>
      </c>
      <c r="F406" s="11">
        <v>175.22</v>
      </c>
      <c r="G406" s="11">
        <v>-3.07</v>
      </c>
      <c r="H406" s="13" t="s">
        <v>696</v>
      </c>
      <c r="I406" s="9" cm="1">
        <f t="array" ref="I406">_FV(Table_0[[#This Row],[Symbol]],"P/E",TRUE)</f>
        <v>35.548200000000001</v>
      </c>
      <c r="J406" s="1" cm="1">
        <f t="array" ref="J406">_FV(Table_0[[#This Row],[Symbol]],"Market cap",TRUE)</f>
        <v>12782199124</v>
      </c>
    </row>
    <row r="407" spans="1:10" x14ac:dyDescent="0.25">
      <c r="A407">
        <v>404</v>
      </c>
      <c r="B407" t="s">
        <v>434</v>
      </c>
      <c r="C407" t="e" vm="404">
        <v>#VALUE!</v>
      </c>
      <c r="D407" t="str" cm="1">
        <f t="array" ref="D407">_FV(Table_0[[#This Row],[Symbol]],"Industry")</f>
        <v>Pharmaceuticals</v>
      </c>
      <c r="E407" s="8">
        <v>3.9891000000000003E-2</v>
      </c>
      <c r="F407" s="11">
        <v>10.58</v>
      </c>
      <c r="G407" s="11">
        <v>-0.27</v>
      </c>
      <c r="H407" s="13" t="s">
        <v>673</v>
      </c>
      <c r="I407" s="9" cm="1">
        <f t="array" ref="I407">_FV(Table_0[[#This Row],[Symbol]],"P/E",TRUE)</f>
        <v>16.446400000000001</v>
      </c>
      <c r="J407" s="1" cm="1">
        <f t="array" ref="J407">_FV(Table_0[[#This Row],[Symbol]],"Market cap",TRUE)</f>
        <v>12830207300</v>
      </c>
    </row>
    <row r="408" spans="1:10" x14ac:dyDescent="0.25">
      <c r="A408">
        <v>405</v>
      </c>
      <c r="B408" t="s">
        <v>415</v>
      </c>
      <c r="C408" t="e" vm="405">
        <v>#VALUE!</v>
      </c>
      <c r="D408" t="str" cm="1">
        <f t="array" ref="D408">_FV(Table_0[[#This Row],[Symbol]],"Industry")</f>
        <v>Electronic Equipment &amp; Parts</v>
      </c>
      <c r="E408" s="8">
        <v>3.9861000000000001E-2</v>
      </c>
      <c r="F408" s="11">
        <v>242.07</v>
      </c>
      <c r="G408" s="11">
        <v>-8.77</v>
      </c>
      <c r="H408" s="13" t="s">
        <v>795</v>
      </c>
      <c r="I408" s="9" cm="1">
        <f t="array" ref="I408">_FV(Table_0[[#This Row],[Symbol]],"P/E",TRUE)</f>
        <v>28.6327</v>
      </c>
      <c r="J408" s="1" cm="1">
        <f t="array" ref="J408">_FV(Table_0[[#This Row],[Symbol]],"Market cap",TRUE)</f>
        <v>12476857468</v>
      </c>
    </row>
    <row r="409" spans="1:10" x14ac:dyDescent="0.25">
      <c r="A409">
        <v>406</v>
      </c>
      <c r="B409" t="s">
        <v>440</v>
      </c>
      <c r="C409" t="e" vm="406">
        <v>#VALUE!</v>
      </c>
      <c r="D409" t="str" cm="1">
        <f t="array" ref="D409">_FV(Table_0[[#This Row],[Symbol]],"Industry")</f>
        <v>Software &amp; IT Services</v>
      </c>
      <c r="E409" s="8">
        <v>3.9849999999999997E-2</v>
      </c>
      <c r="F409" s="11">
        <v>120.87</v>
      </c>
      <c r="G409" s="11">
        <v>-2.84</v>
      </c>
      <c r="H409" s="13" t="s">
        <v>670</v>
      </c>
      <c r="I409" s="9" cm="1">
        <f t="array" ref="I409">_FV(Table_0[[#This Row],[Symbol]],"P/E",TRUE)</f>
        <v>46.722499999999997</v>
      </c>
      <c r="J409" s="1" cm="1">
        <f t="array" ref="J409">_FV(Table_0[[#This Row],[Symbol]],"Market cap",TRUE)</f>
        <v>14198840640</v>
      </c>
    </row>
    <row r="410" spans="1:10" x14ac:dyDescent="0.25">
      <c r="A410">
        <v>407</v>
      </c>
      <c r="B410" t="s">
        <v>427</v>
      </c>
      <c r="C410" t="e" vm="407">
        <v>#VALUE!</v>
      </c>
      <c r="D410" t="str" cm="1">
        <f t="array" ref="D410">_FV(Table_0[[#This Row],[Symbol]],"Industry")</f>
        <v>Residential &amp; Commercial REIT</v>
      </c>
      <c r="E410" s="8">
        <v>3.9710000000000002E-2</v>
      </c>
      <c r="F410" s="11">
        <v>20.64</v>
      </c>
      <c r="G410" s="11">
        <v>-0.46</v>
      </c>
      <c r="H410" s="13" t="s">
        <v>702</v>
      </c>
      <c r="I410" s="9" cm="1">
        <f t="array" ref="I410">_FV(Table_0[[#This Row],[Symbol]],"P/E",TRUE)</f>
        <v>55.982999999999997</v>
      </c>
      <c r="J410" s="1" cm="1">
        <f t="array" ref="J410">_FV(Table_0[[#This Row],[Symbol]],"Market cap",TRUE)</f>
        <v>12765030912</v>
      </c>
    </row>
    <row r="411" spans="1:10" x14ac:dyDescent="0.25">
      <c r="A411">
        <v>408</v>
      </c>
      <c r="B411" t="s">
        <v>400</v>
      </c>
      <c r="C411" t="e" vm="408">
        <v>#VALUE!</v>
      </c>
      <c r="D411" t="str" cm="1">
        <f t="array" ref="D411">_FV(Table_0[[#This Row],[Symbol]],"Industry")</f>
        <v>Hotels &amp; Entertainment Services</v>
      </c>
      <c r="E411" s="8">
        <v>3.9663999999999998E-2</v>
      </c>
      <c r="F411" s="11">
        <v>82.61</v>
      </c>
      <c r="G411" s="11">
        <v>-3.88</v>
      </c>
      <c r="H411" s="13" t="s">
        <v>870</v>
      </c>
      <c r="I411" s="9" cm="1">
        <f t="array" ref="I411">_FV(Table_0[[#This Row],[Symbol]],"P/E",TRUE)</f>
        <v>20.3583</v>
      </c>
      <c r="J411" s="1" cm="1">
        <f t="array" ref="J411">_FV(Table_0[[#This Row],[Symbol]],"Market cap",TRUE)</f>
        <v>12893685876</v>
      </c>
    </row>
    <row r="412" spans="1:10" x14ac:dyDescent="0.25">
      <c r="A412">
        <v>409</v>
      </c>
      <c r="B412" t="s">
        <v>447</v>
      </c>
      <c r="C412" t="e" vm="409">
        <v>#VALUE!</v>
      </c>
      <c r="D412" t="str" cm="1">
        <f t="array" ref="D412">_FV(Table_0[[#This Row],[Symbol]],"Industry")</f>
        <v>Machinery, Equipment &amp; Components</v>
      </c>
      <c r="E412" s="8">
        <v>3.9433999999999997E-2</v>
      </c>
      <c r="F412" s="11">
        <v>233.11</v>
      </c>
      <c r="G412" s="11">
        <v>-5.09</v>
      </c>
      <c r="H412" s="13" t="s">
        <v>712</v>
      </c>
      <c r="I412" s="9" cm="1">
        <f t="array" ref="I412">_FV(Table_0[[#This Row],[Symbol]],"P/E",TRUE)</f>
        <v>27.0245</v>
      </c>
      <c r="J412" s="1" cm="1">
        <f t="array" ref="J412">_FV(Table_0[[#This Row],[Symbol]],"Market cap",TRUE)</f>
        <v>13614760000</v>
      </c>
    </row>
    <row r="413" spans="1:10" x14ac:dyDescent="0.25">
      <c r="A413">
        <v>410</v>
      </c>
      <c r="B413" t="s">
        <v>422</v>
      </c>
      <c r="C413" t="e" vm="410">
        <v>#VALUE!</v>
      </c>
      <c r="D413" t="str" cm="1">
        <f t="array" ref="D413">_FV(Table_0[[#This Row],[Symbol]],"Industry")</f>
        <v>Hotels &amp; Entertainment Services</v>
      </c>
      <c r="E413" s="8">
        <v>3.9426999999999997E-2</v>
      </c>
      <c r="F413" s="11">
        <v>345.34</v>
      </c>
      <c r="G413" s="11">
        <v>-12.99</v>
      </c>
      <c r="H413" s="13" t="s">
        <v>753</v>
      </c>
      <c r="I413" s="9" cm="1">
        <f t="array" ref="I413">_FV(Table_0[[#This Row],[Symbol]],"P/E",TRUE)</f>
        <v>29.033100000000001</v>
      </c>
      <c r="J413" s="1" cm="1">
        <f t="array" ref="J413">_FV(Table_0[[#This Row],[Symbol]],"Market cap",TRUE)</f>
        <v>12224821889</v>
      </c>
    </row>
    <row r="414" spans="1:10" x14ac:dyDescent="0.25">
      <c r="A414">
        <v>411</v>
      </c>
      <c r="B414" t="s">
        <v>435</v>
      </c>
      <c r="C414" t="e" vm="411">
        <v>#VALUE!</v>
      </c>
      <c r="D414" t="str" cm="1">
        <f t="array" ref="D414">_FV(Table_0[[#This Row],[Symbol]],"Industry")</f>
        <v>Media &amp; Publishing</v>
      </c>
      <c r="E414" s="8">
        <v>3.9366999999999999E-2</v>
      </c>
      <c r="F414" s="11">
        <v>32.299999999999997</v>
      </c>
      <c r="G414" s="11">
        <v>-0.6</v>
      </c>
      <c r="H414" s="13" t="s">
        <v>639</v>
      </c>
      <c r="I414" s="9" cm="1">
        <f t="array" ref="I414">_FV(Table_0[[#This Row],[Symbol]],"P/E",TRUE)</f>
        <v>13.079800000000001</v>
      </c>
      <c r="J414" s="1" cm="1">
        <f t="array" ref="J414">_FV(Table_0[[#This Row],[Symbol]],"Market cap",TRUE)</f>
        <v>12549347809</v>
      </c>
    </row>
    <row r="415" spans="1:10" x14ac:dyDescent="0.25">
      <c r="A415">
        <v>412</v>
      </c>
      <c r="B415" t="s">
        <v>443</v>
      </c>
      <c r="C415" t="e" vm="412">
        <v>#VALUE!</v>
      </c>
      <c r="D415" t="str" cm="1">
        <f t="array" ref="D415">_FV(Table_0[[#This Row],[Symbol]],"Industry")</f>
        <v>Biotechnology &amp; Medical Research</v>
      </c>
      <c r="E415" s="8">
        <v>3.9349000000000002E-2</v>
      </c>
      <c r="F415" s="11">
        <v>81.239999999999995</v>
      </c>
      <c r="G415" s="11">
        <v>-1.93</v>
      </c>
      <c r="H415" s="13" t="s">
        <v>647</v>
      </c>
      <c r="I415" s="9" cm="1">
        <f t="array" ref="I415">_FV(Table_0[[#This Row],[Symbol]],"P/E",TRUE)</f>
        <v>46.602200000000003</v>
      </c>
      <c r="J415" s="1" cm="1">
        <f t="array" ref="J415">_FV(Table_0[[#This Row],[Symbol]],"Market cap",TRUE)</f>
        <v>13055160000</v>
      </c>
    </row>
    <row r="416" spans="1:10" x14ac:dyDescent="0.25">
      <c r="A416">
        <v>413</v>
      </c>
      <c r="B416" t="s">
        <v>423</v>
      </c>
      <c r="C416" t="e" vm="413">
        <v>#VALUE!</v>
      </c>
      <c r="D416" t="str" cm="1">
        <f t="array" ref="D416">_FV(Table_0[[#This Row],[Symbol]],"Industry")</f>
        <v>Passenger Transportation Services</v>
      </c>
      <c r="E416" s="8">
        <v>3.9262999999999999E-2</v>
      </c>
      <c r="F416" s="11">
        <v>37.229999999999997</v>
      </c>
      <c r="G416" s="11">
        <v>-1.78</v>
      </c>
      <c r="H416" s="13" t="s">
        <v>871</v>
      </c>
      <c r="I416" s="9" cm="1">
        <f t="array" ref="I416">_FV(Table_0[[#This Row],[Symbol]],"P/E",TRUE)</f>
        <v>8.7719000000000005</v>
      </c>
      <c r="J416" s="1" cm="1">
        <f t="array" ref="J416">_FV(Table_0[[#This Row],[Symbol]],"Market cap",TRUE)</f>
        <v>12750190000</v>
      </c>
    </row>
    <row r="417" spans="1:10" x14ac:dyDescent="0.25">
      <c r="A417">
        <v>414</v>
      </c>
      <c r="B417" t="s">
        <v>448</v>
      </c>
      <c r="C417" t="e" vm="414">
        <v>#VALUE!</v>
      </c>
      <c r="D417" t="str" cm="1">
        <f t="array" ref="D417">_FV(Table_0[[#This Row],[Symbol]],"Industry")</f>
        <v>Food &amp; Tobacco</v>
      </c>
      <c r="E417" s="8">
        <v>3.909E-2</v>
      </c>
      <c r="F417" s="11">
        <v>88.18</v>
      </c>
      <c r="G417" s="11">
        <v>-0.47</v>
      </c>
      <c r="H417" s="13" t="s">
        <v>616</v>
      </c>
      <c r="I417" s="9" cm="1">
        <f t="array" ref="I417">_FV(Table_0[[#This Row],[Symbol]],"P/E",TRUE)</f>
        <v>31.897400000000001</v>
      </c>
      <c r="J417" s="1" cm="1">
        <f t="array" ref="J417">_FV(Table_0[[#This Row],[Symbol]],"Market cap",TRUE)</f>
        <v>12683035216</v>
      </c>
    </row>
    <row r="418" spans="1:10" x14ac:dyDescent="0.25">
      <c r="A418">
        <v>415</v>
      </c>
      <c r="B418" t="s">
        <v>445</v>
      </c>
      <c r="C418" t="e" vm="415">
        <v>#VALUE!</v>
      </c>
      <c r="D418" t="str" cm="1">
        <f t="array" ref="D418">_FV(Table_0[[#This Row],[Symbol]],"Industry")</f>
        <v>Banking Services</v>
      </c>
      <c r="E418" s="8">
        <v>3.8746000000000003E-2</v>
      </c>
      <c r="F418" s="11">
        <v>207.7</v>
      </c>
      <c r="G418" s="11">
        <v>-9.66</v>
      </c>
      <c r="H418" s="13" t="s">
        <v>849</v>
      </c>
      <c r="I418" s="9" cm="1">
        <f t="array" ref="I418">_FV(Table_0[[#This Row],[Symbol]],"P/E",TRUE)</f>
        <v>8.0680999999999994</v>
      </c>
      <c r="J418" s="1" cm="1">
        <f t="array" ref="J418">_FV(Table_0[[#This Row],[Symbol]],"Market cap",TRUE)</f>
        <v>12275630203</v>
      </c>
    </row>
    <row r="419" spans="1:10" x14ac:dyDescent="0.25">
      <c r="A419">
        <v>416</v>
      </c>
      <c r="B419" t="s">
        <v>439</v>
      </c>
      <c r="C419" t="e" vm="416">
        <v>#VALUE!</v>
      </c>
      <c r="D419" t="str" cm="1">
        <f t="array" ref="D419">_FV(Table_0[[#This Row],[Symbol]],"Industry")</f>
        <v>Containers &amp; Packaging</v>
      </c>
      <c r="E419" s="8">
        <v>3.8461000000000002E-2</v>
      </c>
      <c r="F419" s="11">
        <v>33.96</v>
      </c>
      <c r="G419" s="11">
        <v>-0.7</v>
      </c>
      <c r="H419" s="13" t="s">
        <v>640</v>
      </c>
      <c r="I419" s="9" cm="1">
        <f t="array" ref="I419">_FV(Table_0[[#This Row],[Symbol]],"P/E",TRUE)</f>
        <v>6.5848000000000004</v>
      </c>
      <c r="J419" s="1" cm="1">
        <f t="array" ref="J419">_FV(Table_0[[#This Row],[Symbol]],"Market cap",TRUE)</f>
        <v>12078553200</v>
      </c>
    </row>
    <row r="420" spans="1:10" x14ac:dyDescent="0.25">
      <c r="A420">
        <v>417</v>
      </c>
      <c r="B420" t="s">
        <v>410</v>
      </c>
      <c r="C420" t="e" vm="417">
        <v>#VALUE!</v>
      </c>
      <c r="D420" t="str" cm="1">
        <f t="array" ref="D420">_FV(Table_0[[#This Row],[Symbol]],"Industry")</f>
        <v>Software &amp; IT Services</v>
      </c>
      <c r="E420" s="8">
        <v>3.8079000000000002E-2</v>
      </c>
      <c r="F420" s="11">
        <v>47.77</v>
      </c>
      <c r="G420" s="11">
        <v>-2.04</v>
      </c>
      <c r="H420" s="13" t="s">
        <v>872</v>
      </c>
      <c r="I420" s="9" cm="1">
        <f t="array" ref="I420">_FV(Table_0[[#This Row],[Symbol]],"P/E",TRUE)</f>
        <v>26.153199999999998</v>
      </c>
      <c r="J420" s="1" cm="1">
        <f t="array" ref="J420">_FV(Table_0[[#This Row],[Symbol]],"Market cap",TRUE)</f>
        <v>11781261919</v>
      </c>
    </row>
    <row r="421" spans="1:10" x14ac:dyDescent="0.25">
      <c r="A421">
        <v>418</v>
      </c>
      <c r="B421" t="s">
        <v>431</v>
      </c>
      <c r="C421" t="e" vm="418">
        <v>#VALUE!</v>
      </c>
      <c r="D421" t="str" cm="1">
        <f t="array" ref="D421">_FV(Table_0[[#This Row],[Symbol]],"Industry")</f>
        <v>Software &amp; IT Services</v>
      </c>
      <c r="E421" s="8">
        <v>3.8037000000000001E-2</v>
      </c>
      <c r="F421" s="11">
        <v>21.12</v>
      </c>
      <c r="G421" s="11">
        <v>-0.39</v>
      </c>
      <c r="H421" s="13" t="s">
        <v>760</v>
      </c>
      <c r="I421" s="9" cm="1">
        <f t="array" ref="I421">_FV(Table_0[[#This Row],[Symbol]],"P/E",TRUE)</f>
        <v>21.684799999999999</v>
      </c>
      <c r="J421" s="1" cm="1">
        <f t="array" ref="J421">_FV(Table_0[[#This Row],[Symbol]],"Market cap",TRUE)</f>
        <v>14056838400</v>
      </c>
    </row>
    <row r="422" spans="1:10" x14ac:dyDescent="0.25">
      <c r="A422">
        <v>419</v>
      </c>
      <c r="B422" t="s">
        <v>446</v>
      </c>
      <c r="C422" t="e" vm="419">
        <v>#VALUE!</v>
      </c>
      <c r="D422" t="str" cm="1">
        <f t="array" ref="D422">_FV(Table_0[[#This Row],[Symbol]],"Industry")</f>
        <v>Leisure Products</v>
      </c>
      <c r="E422" s="8">
        <v>3.7949999999999998E-2</v>
      </c>
      <c r="F422" s="11">
        <v>297.27</v>
      </c>
      <c r="G422" s="11">
        <v>-14.41</v>
      </c>
      <c r="H422" s="13" t="s">
        <v>850</v>
      </c>
      <c r="I422" s="9" cm="1">
        <f t="array" ref="I422">_FV(Table_0[[#This Row],[Symbol]],"P/E",TRUE)</f>
        <v>15.936299999999999</v>
      </c>
      <c r="J422" s="1" cm="1">
        <f t="array" ref="J422">_FV(Table_0[[#This Row],[Symbol]],"Market cap",TRUE)</f>
        <v>11608577807</v>
      </c>
    </row>
    <row r="423" spans="1:10" x14ac:dyDescent="0.25">
      <c r="A423">
        <v>420</v>
      </c>
      <c r="B423" t="s">
        <v>442</v>
      </c>
      <c r="C423" t="e" vm="420">
        <v>#VALUE!</v>
      </c>
      <c r="D423" t="str" cm="1">
        <f t="array" ref="D423">_FV(Table_0[[#This Row],[Symbol]],"Industry")</f>
        <v>Machinery, Equipment &amp; Components</v>
      </c>
      <c r="E423" s="8">
        <v>3.7609999999999998E-2</v>
      </c>
      <c r="F423" s="11">
        <v>221.45</v>
      </c>
      <c r="G423" s="11">
        <v>-7.79</v>
      </c>
      <c r="H423" s="13" t="s">
        <v>680</v>
      </c>
      <c r="I423" s="9" cm="1">
        <f t="array" ref="I423">_FV(Table_0[[#This Row],[Symbol]],"P/E",TRUE)</f>
        <v>13.890599999999999</v>
      </c>
      <c r="J423" s="1" cm="1">
        <f t="array" ref="J423">_FV(Table_0[[#This Row],[Symbol]],"Market cap",TRUE)</f>
        <v>11767374203</v>
      </c>
    </row>
    <row r="424" spans="1:10" x14ac:dyDescent="0.25">
      <c r="A424">
        <v>421</v>
      </c>
      <c r="B424" t="s">
        <v>437</v>
      </c>
      <c r="C424" t="e" vm="421">
        <v>#VALUE!</v>
      </c>
      <c r="D424" t="str" cm="1">
        <f t="array" ref="D424">_FV(Table_0[[#This Row],[Symbol]],"Industry")</f>
        <v>Beverages</v>
      </c>
      <c r="E424" s="8">
        <v>3.7115000000000002E-2</v>
      </c>
      <c r="F424" s="11">
        <v>66</v>
      </c>
      <c r="G424" s="11">
        <v>-0.82</v>
      </c>
      <c r="H424" s="13" t="s">
        <v>689</v>
      </c>
      <c r="I424" s="9" cm="1">
        <f t="array" ref="I424">_FV(Table_0[[#This Row],[Symbol]],"P/E",TRUE)</f>
        <v>36.230899999999998</v>
      </c>
      <c r="J424" s="1" cm="1">
        <f t="array" ref="J424">_FV(Table_0[[#This Row],[Symbol]],"Market cap",TRUE)</f>
        <v>31981280000</v>
      </c>
    </row>
    <row r="425" spans="1:10" x14ac:dyDescent="0.25">
      <c r="A425">
        <v>422</v>
      </c>
      <c r="B425" t="s">
        <v>449</v>
      </c>
      <c r="C425" t="e" vm="422">
        <v>#VALUE!</v>
      </c>
      <c r="D425" t="str" cm="1">
        <f t="array" ref="D425">_FV(Table_0[[#This Row],[Symbol]],"Industry")</f>
        <v>Containers &amp; Packaging</v>
      </c>
      <c r="E425" s="8">
        <v>3.7092E-2</v>
      </c>
      <c r="F425" s="11">
        <v>125.23</v>
      </c>
      <c r="G425" s="11">
        <v>-3.2</v>
      </c>
      <c r="H425" s="13" t="s">
        <v>673</v>
      </c>
      <c r="I425" s="9" cm="1">
        <f t="array" ref="I425">_FV(Table_0[[#This Row],[Symbol]],"P/E",TRUE)</f>
        <v>11.694800000000001</v>
      </c>
      <c r="J425" s="1" cm="1">
        <f t="array" ref="J425">_FV(Table_0[[#This Row],[Symbol]],"Market cap",TRUE)</f>
        <v>11584391551</v>
      </c>
    </row>
    <row r="426" spans="1:10" x14ac:dyDescent="0.25">
      <c r="A426">
        <v>423</v>
      </c>
      <c r="B426" t="s">
        <v>452</v>
      </c>
      <c r="C426" t="e" vm="423">
        <v>#VALUE!</v>
      </c>
      <c r="D426" t="str" cm="1">
        <f t="array" ref="D426">_FV(Table_0[[#This Row],[Symbol]],"Industry")</f>
        <v>Residential &amp; Commercial REIT</v>
      </c>
      <c r="E426" s="8">
        <v>3.6062999999999998E-2</v>
      </c>
      <c r="F426" s="11">
        <v>37.99</v>
      </c>
      <c r="G426" s="11">
        <v>-0.28000000000000003</v>
      </c>
      <c r="H426" s="13" t="s">
        <v>620</v>
      </c>
      <c r="I426" s="9" cm="1">
        <f t="array" ref="I426">_FV(Table_0[[#This Row],[Symbol]],"P/E",TRUE)</f>
        <v>77.501000000000005</v>
      </c>
      <c r="J426" s="1" cm="1">
        <f t="array" ref="J426">_FV(Table_0[[#This Row],[Symbol]],"Market cap",TRUE)</f>
        <v>12458480000</v>
      </c>
    </row>
    <row r="427" spans="1:10" x14ac:dyDescent="0.25">
      <c r="A427">
        <v>424</v>
      </c>
      <c r="B427" t="s">
        <v>450</v>
      </c>
      <c r="C427" t="e" vm="424">
        <v>#VALUE!</v>
      </c>
      <c r="D427" t="str" cm="1">
        <f t="array" ref="D427">_FV(Table_0[[#This Row],[Symbol]],"Industry")</f>
        <v>Residential &amp; Commercial REIT</v>
      </c>
      <c r="E427" s="8">
        <v>3.6015999999999999E-2</v>
      </c>
      <c r="F427" s="11">
        <v>108.96</v>
      </c>
      <c r="G427" s="11">
        <v>-1.56</v>
      </c>
      <c r="H427" s="13" t="s">
        <v>637</v>
      </c>
      <c r="I427" s="9" cm="1">
        <f t="array" ref="I427">_FV(Table_0[[#This Row],[Symbol]],"P/E",TRUE)</f>
        <v>14.6145</v>
      </c>
      <c r="J427" s="1" cm="1">
        <f t="array" ref="J427">_FV(Table_0[[#This Row],[Symbol]],"Market cap",TRUE)</f>
        <v>11773480000</v>
      </c>
    </row>
    <row r="428" spans="1:10" x14ac:dyDescent="0.25">
      <c r="A428">
        <v>425</v>
      </c>
      <c r="B428" t="s">
        <v>462</v>
      </c>
      <c r="C428" t="e" vm="425">
        <v>#VALUE!</v>
      </c>
      <c r="D428" t="str" cm="1">
        <f t="array" ref="D428">_FV(Table_0[[#This Row],[Symbol]],"Industry")</f>
        <v>Food &amp; Tobacco</v>
      </c>
      <c r="E428" s="8">
        <v>3.5352000000000001E-2</v>
      </c>
      <c r="F428" s="11">
        <v>56.64</v>
      </c>
      <c r="G428" s="11">
        <v>-0.27</v>
      </c>
      <c r="H428" s="13" t="s">
        <v>146</v>
      </c>
      <c r="I428" s="9" cm="1">
        <f t="array" ref="I428">_FV(Table_0[[#This Row],[Symbol]],"P/E",TRUE)</f>
        <v>21.638999999999999</v>
      </c>
      <c r="J428" s="1" cm="1">
        <f t="array" ref="J428">_FV(Table_0[[#This Row],[Symbol]],"Market cap",TRUE)</f>
        <v>16961844864</v>
      </c>
    </row>
    <row r="429" spans="1:10" x14ac:dyDescent="0.25">
      <c r="A429">
        <v>426</v>
      </c>
      <c r="B429" t="s">
        <v>451</v>
      </c>
      <c r="C429" t="e" vm="426">
        <v>#VALUE!</v>
      </c>
      <c r="D429" t="str" cm="1">
        <f t="array" ref="D429">_FV(Table_0[[#This Row],[Symbol]],"Industry")</f>
        <v>Freight &amp; Logistics Services</v>
      </c>
      <c r="E429" s="8">
        <v>3.5312000000000003E-2</v>
      </c>
      <c r="F429" s="11">
        <v>91.32</v>
      </c>
      <c r="G429" s="11">
        <v>-1.6</v>
      </c>
      <c r="H429" s="13" t="s">
        <v>696</v>
      </c>
      <c r="I429" s="9" cm="1">
        <f t="array" ref="I429">_FV(Table_0[[#This Row],[Symbol]],"P/E",TRUE)</f>
        <v>11.271100000000001</v>
      </c>
      <c r="J429" s="1" cm="1">
        <f t="array" ref="J429">_FV(Table_0[[#This Row],[Symbol]],"Market cap",TRUE)</f>
        <v>10937560000</v>
      </c>
    </row>
    <row r="430" spans="1:10" x14ac:dyDescent="0.25">
      <c r="A430">
        <v>427</v>
      </c>
      <c r="B430" t="s">
        <v>465</v>
      </c>
      <c r="C430" t="e" vm="427">
        <v>#VALUE!</v>
      </c>
      <c r="D430" t="str" cm="1">
        <f t="array" ref="D430">_FV(Table_0[[#This Row],[Symbol]],"Industry")</f>
        <v>Healthcare Equipment &amp; Supplies</v>
      </c>
      <c r="E430" s="8">
        <v>3.5216999999999998E-2</v>
      </c>
      <c r="F430" s="11">
        <v>244.16</v>
      </c>
      <c r="G430" s="11">
        <v>-3.55</v>
      </c>
      <c r="H430" s="13" t="s">
        <v>814</v>
      </c>
      <c r="I430" s="9" cm="1">
        <f t="array" ref="I430">_FV(Table_0[[#This Row],[Symbol]],"P/E",TRUE)</f>
        <v>28.454799999999999</v>
      </c>
      <c r="J430" s="1" cm="1">
        <f t="array" ref="J430">_FV(Table_0[[#This Row],[Symbol]],"Market cap",TRUE)</f>
        <v>11619190000</v>
      </c>
    </row>
    <row r="431" spans="1:10" x14ac:dyDescent="0.25">
      <c r="A431">
        <v>428</v>
      </c>
      <c r="B431" t="s">
        <v>429</v>
      </c>
      <c r="C431" t="e" vm="428">
        <v>#VALUE!</v>
      </c>
      <c r="D431" t="str" cm="1">
        <f t="array" ref="D431">_FV(Table_0[[#This Row],[Symbol]],"Industry")</f>
        <v>Software &amp; IT Services</v>
      </c>
      <c r="E431" s="8">
        <v>3.5098999999999998E-2</v>
      </c>
      <c r="F431" s="11">
        <v>38.94</v>
      </c>
      <c r="G431" s="11">
        <v>-1.77</v>
      </c>
      <c r="H431" s="13" t="s">
        <v>807</v>
      </c>
      <c r="I431" s="9" cm="1">
        <f t="array" ref="I431">_FV(Table_0[[#This Row],[Symbol]],"P/E",TRUE)</f>
        <v>107.6614</v>
      </c>
      <c r="J431" s="1" cm="1">
        <f t="array" ref="J431">_FV(Table_0[[#This Row],[Symbol]],"Market cap",TRUE)</f>
        <v>10874783003</v>
      </c>
    </row>
    <row r="432" spans="1:10" x14ac:dyDescent="0.25">
      <c r="A432">
        <v>429</v>
      </c>
      <c r="B432" t="s">
        <v>444</v>
      </c>
      <c r="C432" t="e" vm="429">
        <v>#VALUE!</v>
      </c>
      <c r="D432" t="str" cm="1">
        <f t="array" ref="D432">_FV(Table_0[[#This Row],[Symbol]],"Industry")</f>
        <v>Hotels &amp; Entertainment Services</v>
      </c>
      <c r="E432" s="8">
        <v>3.4832000000000002E-2</v>
      </c>
      <c r="F432" s="11">
        <v>48.57</v>
      </c>
      <c r="G432" s="11">
        <v>-3.24</v>
      </c>
      <c r="H432" s="13" t="s">
        <v>798</v>
      </c>
      <c r="I432" s="9" cm="1">
        <f t="array" ref="I432">_FV(Table_0[[#This Row],[Symbol]],"P/E",TRUE)</f>
        <v>0</v>
      </c>
      <c r="J432" s="1" cm="1">
        <f t="array" ref="J432">_FV(Table_0[[#This Row],[Symbol]],"Market cap",TRUE)</f>
        <v>12396741560</v>
      </c>
    </row>
    <row r="433" spans="1:10" x14ac:dyDescent="0.25">
      <c r="A433">
        <v>430</v>
      </c>
      <c r="B433" t="s">
        <v>455</v>
      </c>
      <c r="C433" t="e" vm="430">
        <v>#VALUE!</v>
      </c>
      <c r="D433" t="str" cm="1">
        <f t="array" ref="D433">_FV(Table_0[[#This Row],[Symbol]],"Industry")</f>
        <v>Hotels &amp; Entertainment Services</v>
      </c>
      <c r="E433" s="8">
        <v>3.4610000000000002E-2</v>
      </c>
      <c r="F433" s="11">
        <v>33.22</v>
      </c>
      <c r="G433" s="11">
        <v>-1.35</v>
      </c>
      <c r="H433" s="13" t="s">
        <v>824</v>
      </c>
      <c r="I433" s="9" cm="1">
        <f t="array" ref="I433">_FV(Table_0[[#This Row],[Symbol]],"P/E",TRUE)</f>
        <v>11.8194</v>
      </c>
      <c r="J433" s="1" cm="1">
        <f t="array" ref="J433">_FV(Table_0[[#This Row],[Symbol]],"Market cap",TRUE)</f>
        <v>12757154366</v>
      </c>
    </row>
    <row r="434" spans="1:10" x14ac:dyDescent="0.25">
      <c r="A434">
        <v>431</v>
      </c>
      <c r="B434" t="s">
        <v>458</v>
      </c>
      <c r="C434" t="e" vm="431">
        <v>#VALUE!</v>
      </c>
      <c r="D434" t="str" cm="1">
        <f t="array" ref="D434">_FV(Table_0[[#This Row],[Symbol]],"Industry")</f>
        <v>Healthcare Equipment &amp; Supplies</v>
      </c>
      <c r="E434" s="8">
        <v>3.4382000000000003E-2</v>
      </c>
      <c r="F434" s="11">
        <v>79.67</v>
      </c>
      <c r="G434" s="11">
        <v>-1.34</v>
      </c>
      <c r="H434" s="13" t="s">
        <v>633</v>
      </c>
      <c r="I434" s="9" cm="1">
        <f t="array" ref="I434">_FV(Table_0[[#This Row],[Symbol]],"P/E",TRUE)</f>
        <v>17.634499999999999</v>
      </c>
      <c r="J434" s="1" cm="1">
        <f t="array" ref="J434">_FV(Table_0[[#This Row],[Symbol]],"Market cap",TRUE)</f>
        <v>10799077292</v>
      </c>
    </row>
    <row r="435" spans="1:10" x14ac:dyDescent="0.25">
      <c r="A435">
        <v>432</v>
      </c>
      <c r="B435" t="s">
        <v>459</v>
      </c>
      <c r="C435" t="e" vm="432">
        <v>#VALUE!</v>
      </c>
      <c r="D435" t="str" cm="1">
        <f t="array" ref="D435">_FV(Table_0[[#This Row],[Symbol]],"Industry")</f>
        <v>Insurance</v>
      </c>
      <c r="E435" s="8">
        <v>3.4381000000000002E-2</v>
      </c>
      <c r="F435" s="11">
        <v>56.68</v>
      </c>
      <c r="G435" s="11">
        <v>-0.75</v>
      </c>
      <c r="H435" s="13" t="s">
        <v>643</v>
      </c>
      <c r="I435" s="9" cm="1">
        <f t="array" ref="I435">_FV(Table_0[[#This Row],[Symbol]],"P/E",TRUE)</f>
        <v>14.3888</v>
      </c>
      <c r="J435" s="1" cm="1">
        <f t="array" ref="J435">_FV(Table_0[[#This Row],[Symbol]],"Market cap",TRUE)</f>
        <v>13456175225</v>
      </c>
    </row>
    <row r="436" spans="1:10" x14ac:dyDescent="0.25">
      <c r="A436">
        <v>433</v>
      </c>
      <c r="B436" t="s">
        <v>441</v>
      </c>
      <c r="C436" t="e" vm="433">
        <v>#VALUE!</v>
      </c>
      <c r="D436" t="str" cm="1">
        <f t="array" ref="D436">_FV(Table_0[[#This Row],[Symbol]],"Industry")</f>
        <v>Residential &amp; Commercial REIT</v>
      </c>
      <c r="E436" s="8">
        <v>3.4317E-2</v>
      </c>
      <c r="F436" s="11">
        <v>15.76</v>
      </c>
      <c r="G436" s="11">
        <v>-0.13</v>
      </c>
      <c r="H436" s="13" t="s">
        <v>624</v>
      </c>
      <c r="I436" s="9" cm="1">
        <f t="array" ref="I436">_FV(Table_0[[#This Row],[Symbol]],"P/E",TRUE)</f>
        <v>14.1213</v>
      </c>
      <c r="J436" s="1" cm="1">
        <f t="array" ref="J436">_FV(Table_0[[#This Row],[Symbol]],"Market cap",TRUE)</f>
        <v>11265262989</v>
      </c>
    </row>
    <row r="437" spans="1:10" x14ac:dyDescent="0.25">
      <c r="A437">
        <v>434</v>
      </c>
      <c r="B437" t="s">
        <v>460</v>
      </c>
      <c r="C437" t="e" vm="434">
        <v>#VALUE!</v>
      </c>
      <c r="D437" t="str" cm="1">
        <f t="array" ref="D437">_FV(Table_0[[#This Row],[Symbol]],"Industry")</f>
        <v>Multiline Utilities</v>
      </c>
      <c r="E437" s="8">
        <v>3.4202000000000003E-2</v>
      </c>
      <c r="F437" s="11">
        <v>27.1</v>
      </c>
      <c r="G437" s="11">
        <v>-0.45</v>
      </c>
      <c r="H437" s="13" t="s">
        <v>650</v>
      </c>
      <c r="I437" s="9" cm="1">
        <f t="array" ref="I437">_FV(Table_0[[#This Row],[Symbol]],"P/E",TRUE)</f>
        <v>17.896100000000001</v>
      </c>
      <c r="J437" s="1" cm="1">
        <f t="array" ref="J437">_FV(Table_0[[#This Row],[Symbol]],"Market cap",TRUE)</f>
        <v>11006239530</v>
      </c>
    </row>
    <row r="438" spans="1:10" x14ac:dyDescent="0.25">
      <c r="A438">
        <v>435</v>
      </c>
      <c r="B438" t="s">
        <v>453</v>
      </c>
      <c r="C438" t="e" vm="435">
        <v>#VALUE!</v>
      </c>
      <c r="D438" t="str" cm="1">
        <f t="array" ref="D438">_FV(Table_0[[#This Row],[Symbol]],"Industry")</f>
        <v>Biotechnology &amp; Medical Research</v>
      </c>
      <c r="E438" s="8">
        <v>3.3661000000000003E-2</v>
      </c>
      <c r="F438" s="11">
        <v>213.42</v>
      </c>
      <c r="G438" s="11">
        <v>-6.89</v>
      </c>
      <c r="H438" s="13" t="s">
        <v>851</v>
      </c>
      <c r="I438" s="9" cm="1">
        <f t="array" ref="I438">_FV(Table_0[[#This Row],[Symbol]],"P/E",TRUE)</f>
        <v>25.947700000000001</v>
      </c>
      <c r="J438" s="1" cm="1">
        <f t="array" ref="J438">_FV(Table_0[[#This Row],[Symbol]],"Market cap",TRUE)</f>
        <v>10858523617</v>
      </c>
    </row>
    <row r="439" spans="1:10" x14ac:dyDescent="0.25">
      <c r="A439">
        <v>436</v>
      </c>
      <c r="B439" t="s">
        <v>464</v>
      </c>
      <c r="C439" t="e" vm="436">
        <v>#VALUE!</v>
      </c>
      <c r="D439" t="str" cm="1">
        <f t="array" ref="D439">_FV(Table_0[[#This Row],[Symbol]],"Industry")</f>
        <v>Insurance</v>
      </c>
      <c r="E439" s="8">
        <v>3.3466999999999997E-2</v>
      </c>
      <c r="F439" s="11">
        <v>118.13</v>
      </c>
      <c r="G439" s="11">
        <v>-2.36</v>
      </c>
      <c r="H439" s="13" t="s">
        <v>649</v>
      </c>
      <c r="I439" s="9" cm="1">
        <f t="array" ref="I439">_FV(Table_0[[#This Row],[Symbol]],"P/E",TRUE)</f>
        <v>16.999099999999999</v>
      </c>
      <c r="J439" s="1" cm="1">
        <f t="array" ref="J439">_FV(Table_0[[#This Row],[Symbol]],"Market cap",TRUE)</f>
        <v>11490532269</v>
      </c>
    </row>
    <row r="440" spans="1:10" x14ac:dyDescent="0.25">
      <c r="A440">
        <v>437</v>
      </c>
      <c r="B440" t="s">
        <v>454</v>
      </c>
      <c r="C440" t="e" vm="437">
        <v>#VALUE!</v>
      </c>
      <c r="D440" t="str" cm="1">
        <f t="array" ref="D440">_FV(Table_0[[#This Row],[Symbol]],"Industry")</f>
        <v>Machinery, Equipment &amp; Components</v>
      </c>
      <c r="E440" s="8">
        <v>3.3196999999999997E-2</v>
      </c>
      <c r="F440" s="11">
        <v>71.58</v>
      </c>
      <c r="G440" s="11">
        <v>-1.7</v>
      </c>
      <c r="H440" s="13" t="s">
        <v>816</v>
      </c>
      <c r="I440" s="9" cm="1">
        <f t="array" ref="I440">_FV(Table_0[[#This Row],[Symbol]],"P/E",TRUE)</f>
        <v>21.192299999999999</v>
      </c>
      <c r="J440" s="1" cm="1">
        <f t="array" ref="J440">_FV(Table_0[[#This Row],[Symbol]],"Market cap",TRUE)</f>
        <v>10839690000</v>
      </c>
    </row>
    <row r="441" spans="1:10" x14ac:dyDescent="0.25">
      <c r="A441">
        <v>438</v>
      </c>
      <c r="B441" t="s">
        <v>457</v>
      </c>
      <c r="C441" t="e" vm="438">
        <v>#VALUE!</v>
      </c>
      <c r="D441" t="str" cm="1">
        <f t="array" ref="D441">_FV(Table_0[[#This Row],[Symbol]],"Industry")</f>
        <v>Homebuilding &amp; Construction Supplies</v>
      </c>
      <c r="E441" s="8">
        <v>3.2613999999999997E-2</v>
      </c>
      <c r="F441" s="11">
        <v>45.96</v>
      </c>
      <c r="G441" s="11">
        <v>-1.1599999999999999</v>
      </c>
      <c r="H441" s="13" t="s">
        <v>743</v>
      </c>
      <c r="I441" s="9" cm="1">
        <f t="array" ref="I441">_FV(Table_0[[#This Row],[Symbol]],"P/E",TRUE)</f>
        <v>12.9198</v>
      </c>
      <c r="J441" s="1" cm="1">
        <f t="array" ref="J441">_FV(Table_0[[#This Row],[Symbol]],"Market cap",TRUE)</f>
        <v>10370955663</v>
      </c>
    </row>
    <row r="442" spans="1:10" x14ac:dyDescent="0.25">
      <c r="A442">
        <v>439</v>
      </c>
      <c r="B442" t="s">
        <v>472</v>
      </c>
      <c r="C442" t="e" vm="439">
        <v>#VALUE!</v>
      </c>
      <c r="D442" t="str" cm="1">
        <f t="array" ref="D442">_FV(Table_0[[#This Row],[Symbol]],"Industry")</f>
        <v>Homebuilding &amp; Construction Supplies</v>
      </c>
      <c r="E442" s="8">
        <v>3.2474000000000003E-2</v>
      </c>
      <c r="F442" s="11">
        <v>45</v>
      </c>
      <c r="G442" s="11">
        <v>-0.76</v>
      </c>
      <c r="H442" s="13" t="s">
        <v>786</v>
      </c>
      <c r="I442" s="9" cm="1">
        <f t="array" ref="I442">_FV(Table_0[[#This Row],[Symbol]],"P/E",TRUE)</f>
        <v>4.6197999999999997</v>
      </c>
      <c r="J442" s="1" cm="1">
        <f t="array" ref="J442">_FV(Table_0[[#This Row],[Symbol]],"Market cap",TRUE)</f>
        <v>10251886500</v>
      </c>
    </row>
    <row r="443" spans="1:10" x14ac:dyDescent="0.25">
      <c r="A443">
        <v>440</v>
      </c>
      <c r="B443" t="s">
        <v>483</v>
      </c>
      <c r="C443" t="e" vm="440">
        <v>#VALUE!</v>
      </c>
      <c r="D443" t="str" cm="1">
        <f t="array" ref="D443">_FV(Table_0[[#This Row],[Symbol]],"Industry")</f>
        <v>Investment Banking &amp; Investment Services</v>
      </c>
      <c r="E443" s="8">
        <v>3.2086000000000003E-2</v>
      </c>
      <c r="F443" s="11">
        <v>275.5</v>
      </c>
      <c r="G443" s="11">
        <v>-2.48</v>
      </c>
      <c r="H443" s="13" t="s">
        <v>829</v>
      </c>
      <c r="I443" s="9" cm="1">
        <f t="array" ref="I443">_FV(Table_0[[#This Row],[Symbol]],"P/E",TRUE)</f>
        <v>43.150100000000002</v>
      </c>
      <c r="J443" s="1" cm="1">
        <f t="array" ref="J443">_FV(Table_0[[#This Row],[Symbol]],"Market cap",TRUE)</f>
        <v>10369696646</v>
      </c>
    </row>
    <row r="444" spans="1:10" x14ac:dyDescent="0.25">
      <c r="A444">
        <v>441</v>
      </c>
      <c r="B444" t="s">
        <v>473</v>
      </c>
      <c r="C444" t="e" vm="441">
        <v>#VALUE!</v>
      </c>
      <c r="D444" t="str" cm="1">
        <f t="array" ref="D444">_FV(Table_0[[#This Row],[Symbol]],"Industry")</f>
        <v>Chemicals</v>
      </c>
      <c r="E444" s="8">
        <v>3.1519999999999999E-2</v>
      </c>
      <c r="F444" s="11">
        <v>99.88</v>
      </c>
      <c r="G444" s="11">
        <v>-3.17</v>
      </c>
      <c r="H444" s="13" t="s">
        <v>803</v>
      </c>
      <c r="I444" s="9" cm="1">
        <f t="array" ref="I444">_FV(Table_0[[#This Row],[Symbol]],"P/E",TRUE)</f>
        <v>6.7831000000000001</v>
      </c>
      <c r="J444" s="1" cm="1">
        <f t="array" ref="J444">_FV(Table_0[[#This Row],[Symbol]],"Market cap",TRUE)</f>
        <v>11173510000</v>
      </c>
    </row>
    <row r="445" spans="1:10" x14ac:dyDescent="0.25">
      <c r="A445">
        <v>442</v>
      </c>
      <c r="B445" t="s">
        <v>470</v>
      </c>
      <c r="C445" t="e" vm="442">
        <v>#VALUE!</v>
      </c>
      <c r="D445" t="str" cm="1">
        <f t="array" ref="D445">_FV(Table_0[[#This Row],[Symbol]],"Industry")</f>
        <v>Communications &amp; Networking</v>
      </c>
      <c r="E445" s="8">
        <v>3.1382E-2</v>
      </c>
      <c r="F445" s="11">
        <v>31.08</v>
      </c>
      <c r="G445" s="11">
        <v>-0.67</v>
      </c>
      <c r="H445" s="13" t="s">
        <v>757</v>
      </c>
      <c r="I445" s="9" cm="1">
        <f t="array" ref="I445">_FV(Table_0[[#This Row],[Symbol]],"P/E",TRUE)</f>
        <v>24.740300000000001</v>
      </c>
      <c r="J445" s="1" cm="1">
        <f t="array" ref="J445">_FV(Table_0[[#This Row],[Symbol]],"Market cap",TRUE)</f>
        <v>10087184940</v>
      </c>
    </row>
    <row r="446" spans="1:10" x14ac:dyDescent="0.25">
      <c r="A446">
        <v>443</v>
      </c>
      <c r="B446" t="s">
        <v>478</v>
      </c>
      <c r="C446" t="e" vm="443">
        <v>#VALUE!</v>
      </c>
      <c r="D446" t="str" cm="1">
        <f t="array" ref="D446">_FV(Table_0[[#This Row],[Symbol]],"Industry")</f>
        <v>Media &amp; Publishing</v>
      </c>
      <c r="E446" s="8">
        <v>3.0816E-2</v>
      </c>
      <c r="F446" s="11">
        <v>69.28</v>
      </c>
      <c r="G446" s="11">
        <v>-1.4</v>
      </c>
      <c r="H446" s="13" t="s">
        <v>659</v>
      </c>
      <c r="I446" s="9" cm="1">
        <f t="array" ref="I446">_FV(Table_0[[#This Row],[Symbol]],"P/E",TRUE)</f>
        <v>102.9255</v>
      </c>
      <c r="J446" s="1" cm="1">
        <f t="array" ref="J446">_FV(Table_0[[#This Row],[Symbol]],"Market cap",TRUE)</f>
        <v>15994620656</v>
      </c>
    </row>
    <row r="447" spans="1:10" x14ac:dyDescent="0.25">
      <c r="A447">
        <v>444</v>
      </c>
      <c r="B447" t="s">
        <v>467</v>
      </c>
      <c r="C447" t="e" vm="444">
        <v>#VALUE!</v>
      </c>
      <c r="D447" t="str" cm="1">
        <f t="array" ref="D447">_FV(Table_0[[#This Row],[Symbol]],"Industry")</f>
        <v>Chemicals</v>
      </c>
      <c r="E447" s="8">
        <v>3.0809E-2</v>
      </c>
      <c r="F447" s="11">
        <v>79.94</v>
      </c>
      <c r="G447" s="11">
        <v>-1.83</v>
      </c>
      <c r="H447" s="13" t="s">
        <v>724</v>
      </c>
      <c r="I447" s="9" cm="1">
        <f t="array" ref="I447">_FV(Table_0[[#This Row],[Symbol]],"P/E",TRUE)</f>
        <v>9.0122</v>
      </c>
      <c r="J447" s="1" cm="1">
        <f t="array" ref="J447">_FV(Table_0[[#This Row],[Symbol]],"Market cap",TRUE)</f>
        <v>9593232480</v>
      </c>
    </row>
    <row r="448" spans="1:10" x14ac:dyDescent="0.25">
      <c r="A448">
        <v>445</v>
      </c>
      <c r="B448" t="s">
        <v>475</v>
      </c>
      <c r="C448" t="e" vm="445">
        <v>#VALUE!</v>
      </c>
      <c r="D448" t="str" cm="1">
        <f t="array" ref="D448">_FV(Table_0[[#This Row],[Symbol]],"Industry")</f>
        <v>Software &amp; IT Services</v>
      </c>
      <c r="E448" s="8">
        <v>3.031E-2</v>
      </c>
      <c r="F448" s="11">
        <v>60.76</v>
      </c>
      <c r="G448" s="11">
        <v>-3.76</v>
      </c>
      <c r="H448" s="13" t="s">
        <v>774</v>
      </c>
      <c r="I448" s="9" cm="1">
        <f t="array" ref="I448">_FV(Table_0[[#This Row],[Symbol]],"P/E",TRUE)</f>
        <v>0</v>
      </c>
      <c r="J448" s="1" cm="1">
        <f t="array" ref="J448">_FV(Table_0[[#This Row],[Symbol]],"Market cap",TRUE)</f>
        <v>9332426124</v>
      </c>
    </row>
    <row r="449" spans="1:10" x14ac:dyDescent="0.25">
      <c r="A449">
        <v>446</v>
      </c>
      <c r="B449" t="s">
        <v>471</v>
      </c>
      <c r="C449" t="e" vm="446">
        <v>#VALUE!</v>
      </c>
      <c r="D449" t="str" cm="1">
        <f t="array" ref="D449">_FV(Table_0[[#This Row],[Symbol]],"Industry")</f>
        <v>Computers, Phones &amp; Household Electronics</v>
      </c>
      <c r="E449" s="8">
        <v>3.0071000000000001E-2</v>
      </c>
      <c r="F449" s="11">
        <v>49.12</v>
      </c>
      <c r="G449" s="11">
        <v>-1.1200000000000001</v>
      </c>
      <c r="H449" s="13" t="s">
        <v>724</v>
      </c>
      <c r="I449" s="9" cm="1">
        <f t="array" ref="I449">_FV(Table_0[[#This Row],[Symbol]],"P/E",TRUE)</f>
        <v>9.6813000000000002</v>
      </c>
      <c r="J449" s="1" cm="1">
        <f t="array" ref="J449">_FV(Table_0[[#This Row],[Symbol]],"Market cap",TRUE)</f>
        <v>10136911040</v>
      </c>
    </row>
    <row r="450" spans="1:10" x14ac:dyDescent="0.25">
      <c r="A450">
        <v>447</v>
      </c>
      <c r="B450" t="s">
        <v>476</v>
      </c>
      <c r="C450" t="e" vm="447">
        <v>#VALUE!</v>
      </c>
      <c r="D450" t="str" cm="1">
        <f t="array" ref="D450">_FV(Table_0[[#This Row],[Symbol]],"Industry")</f>
        <v>Automobiles &amp; Auto Parts</v>
      </c>
      <c r="E450" s="8">
        <v>2.9988999999999998E-2</v>
      </c>
      <c r="F450" s="11">
        <v>38.979999999999997</v>
      </c>
      <c r="G450" s="11">
        <v>-2.02</v>
      </c>
      <c r="H450" s="13" t="s">
        <v>821</v>
      </c>
      <c r="I450" s="9" cm="1">
        <f t="array" ref="I450">_FV(Table_0[[#This Row],[Symbol]],"P/E",TRUE)</f>
        <v>11.917199999999999</v>
      </c>
      <c r="J450" s="1" cm="1">
        <f t="array" ref="J450">_FV(Table_0[[#This Row],[Symbol]],"Market cap",TRUE)</f>
        <v>9127319022</v>
      </c>
    </row>
    <row r="451" spans="1:10" x14ac:dyDescent="0.25">
      <c r="A451">
        <v>448</v>
      </c>
      <c r="B451" t="s">
        <v>456</v>
      </c>
      <c r="C451" t="e" vm="448">
        <v>#VALUE!</v>
      </c>
      <c r="D451" t="str" cm="1">
        <f t="array" ref="D451">_FV(Table_0[[#This Row],[Symbol]],"Industry")</f>
        <v>Computers, Phones &amp; Household Electronics</v>
      </c>
      <c r="E451" s="8">
        <v>2.9963E-2</v>
      </c>
      <c r="F451" s="11">
        <v>29.79</v>
      </c>
      <c r="G451" s="11">
        <v>-1.6</v>
      </c>
      <c r="H451" s="13" t="s">
        <v>873</v>
      </c>
      <c r="I451" s="9" cm="1">
        <f t="array" ref="I451">_FV(Table_0[[#This Row],[Symbol]],"P/E",TRUE)</f>
        <v>10.795500000000001</v>
      </c>
      <c r="J451" s="1" cm="1">
        <f t="array" ref="J451">_FV(Table_0[[#This Row],[Symbol]],"Market cap",TRUE)</f>
        <v>9461214185</v>
      </c>
    </row>
    <row r="452" spans="1:10" x14ac:dyDescent="0.25">
      <c r="A452">
        <v>449</v>
      </c>
      <c r="B452" t="s">
        <v>469</v>
      </c>
      <c r="C452" t="e" vm="449">
        <v>#VALUE!</v>
      </c>
      <c r="D452" t="str" cm="1">
        <f t="array" ref="D452">_FV(Table_0[[#This Row],[Symbol]],"Industry")</f>
        <v>Beverages</v>
      </c>
      <c r="E452" s="8">
        <v>2.9656999999999999E-2</v>
      </c>
      <c r="F452" s="11">
        <v>51.03</v>
      </c>
      <c r="G452" s="11">
        <v>-0.42</v>
      </c>
      <c r="H452" s="13" t="s">
        <v>791</v>
      </c>
      <c r="I452" s="9" cm="1">
        <f t="array" ref="I452">_FV(Table_0[[#This Row],[Symbol]],"P/E",TRUE)</f>
        <v>22.594100000000001</v>
      </c>
      <c r="J452" s="1" cm="1">
        <f t="array" ref="J452">_FV(Table_0[[#This Row],[Symbol]],"Market cap",TRUE)</f>
        <v>10510660000</v>
      </c>
    </row>
    <row r="453" spans="1:10" x14ac:dyDescent="0.25">
      <c r="A453">
        <v>450</v>
      </c>
      <c r="B453" t="s">
        <v>481</v>
      </c>
      <c r="C453" t="e" vm="450">
        <v>#VALUE!</v>
      </c>
      <c r="D453" t="str" cm="1">
        <f t="array" ref="D453">_FV(Table_0[[#This Row],[Symbol]],"Industry")</f>
        <v>Semiconductors &amp; Semiconductor Equipment</v>
      </c>
      <c r="E453" s="8">
        <v>2.9510000000000002E-2</v>
      </c>
      <c r="F453" s="11">
        <v>88.36</v>
      </c>
      <c r="G453" s="11">
        <v>-4.82</v>
      </c>
      <c r="H453" s="13" t="s">
        <v>874</v>
      </c>
      <c r="I453" s="9" cm="1">
        <f t="array" ref="I453">_FV(Table_0[[#This Row],[Symbol]],"P/E",TRUE)</f>
        <v>14.6289</v>
      </c>
      <c r="J453" s="1" cm="1">
        <f t="array" ref="J453">_FV(Table_0[[#This Row],[Symbol]],"Market cap",TRUE)</f>
        <v>8958269272</v>
      </c>
    </row>
    <row r="454" spans="1:10" x14ac:dyDescent="0.25">
      <c r="A454">
        <v>451</v>
      </c>
      <c r="B454" t="s">
        <v>463</v>
      </c>
      <c r="C454" t="e" vm="451">
        <v>#VALUE!</v>
      </c>
      <c r="D454" t="str" cm="1">
        <f t="array" ref="D454">_FV(Table_0[[#This Row],[Symbol]],"Industry")</f>
        <v>Specialty Retailers</v>
      </c>
      <c r="E454" s="8">
        <v>2.9385000000000001E-2</v>
      </c>
      <c r="F454" s="11">
        <v>55.4</v>
      </c>
      <c r="G454" s="11">
        <v>-3.97</v>
      </c>
      <c r="H454" s="13" t="s">
        <v>875</v>
      </c>
      <c r="I454" s="9" cm="1">
        <f t="array" ref="I454">_FV(Table_0[[#This Row],[Symbol]],"P/E",TRUE)</f>
        <v>11.9831</v>
      </c>
      <c r="J454" s="1" cm="1">
        <f t="array" ref="J454">_FV(Table_0[[#This Row],[Symbol]],"Market cap",TRUE)</f>
        <v>8754058700</v>
      </c>
    </row>
    <row r="455" spans="1:10" x14ac:dyDescent="0.25">
      <c r="A455">
        <v>452</v>
      </c>
      <c r="B455" t="s">
        <v>468</v>
      </c>
      <c r="C455" t="e" vm="452">
        <v>#VALUE!</v>
      </c>
      <c r="D455" t="str" cm="1">
        <f t="array" ref="D455">_FV(Table_0[[#This Row],[Symbol]],"Industry")</f>
        <v>Hotels &amp; Entertainment Services</v>
      </c>
      <c r="E455" s="8">
        <v>2.9301000000000001E-2</v>
      </c>
      <c r="F455" s="11">
        <v>41.16</v>
      </c>
      <c r="G455" s="11">
        <v>-3.75</v>
      </c>
      <c r="H455" s="13" t="s">
        <v>876</v>
      </c>
      <c r="I455" s="9" cm="1">
        <f t="array" ref="I455">_FV(Table_0[[#This Row],[Symbol]],"P/E",TRUE)</f>
        <v>20.490400000000001</v>
      </c>
      <c r="J455" s="1" cm="1">
        <f t="array" ref="J455">_FV(Table_0[[#This Row],[Symbol]],"Market cap",TRUE)</f>
        <v>8831540676</v>
      </c>
    </row>
    <row r="456" spans="1:10" x14ac:dyDescent="0.25">
      <c r="A456">
        <v>453</v>
      </c>
      <c r="B456" t="s">
        <v>477</v>
      </c>
      <c r="C456" t="e" vm="453">
        <v>#VALUE!</v>
      </c>
      <c r="D456" t="str" cm="1">
        <f t="array" ref="D456">_FV(Table_0[[#This Row],[Symbol]],"Industry")</f>
        <v>Residential &amp; Commercial REIT</v>
      </c>
      <c r="E456" s="8">
        <v>2.9156999999999999E-2</v>
      </c>
      <c r="F456" s="11">
        <v>66.2</v>
      </c>
      <c r="G456" s="11">
        <v>-1.31</v>
      </c>
      <c r="H456" s="13" t="s">
        <v>671</v>
      </c>
      <c r="I456" s="9" cm="1">
        <f t="array" ref="I456">_FV(Table_0[[#This Row],[Symbol]],"P/E",TRUE)</f>
        <v>11.6389</v>
      </c>
      <c r="J456" s="1" cm="1">
        <f t="array" ref="J456">_FV(Table_0[[#This Row],[Symbol]],"Market cap",TRUE)</f>
        <v>10377161140</v>
      </c>
    </row>
    <row r="457" spans="1:10" x14ac:dyDescent="0.25">
      <c r="A457">
        <v>454</v>
      </c>
      <c r="B457" t="s">
        <v>495</v>
      </c>
      <c r="C457" t="e" vm="454">
        <v>#VALUE!</v>
      </c>
      <c r="D457" t="str" cm="1">
        <f t="array" ref="D457">_FV(Table_0[[#This Row],[Symbol]],"Industry")</f>
        <v>Healthcare Providers &amp; Services</v>
      </c>
      <c r="E457" s="8">
        <v>2.913E-2</v>
      </c>
      <c r="F457" s="11">
        <v>138.02000000000001</v>
      </c>
      <c r="G457" s="11">
        <v>-3.98</v>
      </c>
      <c r="H457" s="13" t="s">
        <v>674</v>
      </c>
      <c r="I457" s="9" cm="1">
        <f t="array" ref="I457">_FV(Table_0[[#This Row],[Symbol]],"P/E",TRUE)</f>
        <v>14.613200000000001</v>
      </c>
      <c r="J457" s="1" cm="1">
        <f t="array" ref="J457">_FV(Table_0[[#This Row],[Symbol]],"Market cap",TRUE)</f>
        <v>10139690000</v>
      </c>
    </row>
    <row r="458" spans="1:10" x14ac:dyDescent="0.25">
      <c r="A458">
        <v>455</v>
      </c>
      <c r="B458" t="s">
        <v>474</v>
      </c>
      <c r="C458" t="e" vm="455">
        <v>#VALUE!</v>
      </c>
      <c r="D458" t="str" cm="1">
        <f t="array" ref="D458">_FV(Table_0[[#This Row],[Symbol]],"Industry")</f>
        <v>Communications &amp; Networking</v>
      </c>
      <c r="E458" s="8">
        <v>2.9097000000000001E-2</v>
      </c>
      <c r="F458" s="11">
        <v>103.89</v>
      </c>
      <c r="G458" s="11">
        <v>-2.86</v>
      </c>
      <c r="H458" s="13" t="s">
        <v>697</v>
      </c>
      <c r="I458" s="9" cm="1">
        <f t="array" ref="I458">_FV(Table_0[[#This Row],[Symbol]],"P/E",TRUE)</f>
        <v>21.7471</v>
      </c>
      <c r="J458" s="1" cm="1">
        <f t="array" ref="J458">_FV(Table_0[[#This Row],[Symbol]],"Market cap",TRUE)</f>
        <v>9126198349</v>
      </c>
    </row>
    <row r="459" spans="1:10" x14ac:dyDescent="0.25">
      <c r="A459">
        <v>456</v>
      </c>
      <c r="B459" t="s">
        <v>479</v>
      </c>
      <c r="C459" t="e" vm="456">
        <v>#VALUE!</v>
      </c>
      <c r="D459" t="str" cm="1">
        <f t="array" ref="D459">_FV(Table_0[[#This Row],[Symbol]],"Industry")</f>
        <v>Residential &amp; Commercial REIT</v>
      </c>
      <c r="E459" s="8">
        <v>2.9055000000000001E-2</v>
      </c>
      <c r="F459" s="11">
        <v>61.42</v>
      </c>
      <c r="G459" s="11">
        <v>-1.1000000000000001</v>
      </c>
      <c r="H459" s="13" t="s">
        <v>722</v>
      </c>
      <c r="I459" s="9" cm="1">
        <f t="array" ref="I459">_FV(Table_0[[#This Row],[Symbol]],"P/E",TRUE)</f>
        <v>23.584299999999999</v>
      </c>
      <c r="J459" s="1" cm="1">
        <f t="array" ref="J459">_FV(Table_0[[#This Row],[Symbol]],"Market cap",TRUE)</f>
        <v>10517201142</v>
      </c>
    </row>
    <row r="460" spans="1:10" x14ac:dyDescent="0.25">
      <c r="A460">
        <v>457</v>
      </c>
      <c r="B460" t="s">
        <v>488</v>
      </c>
      <c r="C460" t="e" vm="457">
        <v>#VALUE!</v>
      </c>
      <c r="D460" t="str" cm="1">
        <f t="array" ref="D460">_FV(Table_0[[#This Row],[Symbol]],"Industry")</f>
        <v>Specialty Retailers</v>
      </c>
      <c r="E460" s="8">
        <v>2.8847000000000001E-2</v>
      </c>
      <c r="F460" s="11">
        <v>39.72</v>
      </c>
      <c r="G460" s="11">
        <v>-1.5</v>
      </c>
      <c r="H460" s="13" t="s">
        <v>793</v>
      </c>
      <c r="I460" s="9" cm="1">
        <f t="array" ref="I460">_FV(Table_0[[#This Row],[Symbol]],"P/E",TRUE)</f>
        <v>10.782299999999999</v>
      </c>
      <c r="J460" s="1" cm="1">
        <f t="array" ref="J460">_FV(Table_0[[#This Row],[Symbol]],"Market cap",TRUE)</f>
        <v>9072627912</v>
      </c>
    </row>
    <row r="461" spans="1:10" x14ac:dyDescent="0.25">
      <c r="A461">
        <v>458</v>
      </c>
      <c r="B461" t="s">
        <v>487</v>
      </c>
      <c r="C461" t="e" vm="458">
        <v>#VALUE!</v>
      </c>
      <c r="D461" t="str" cm="1">
        <f t="array" ref="D461">_FV(Table_0[[#This Row],[Symbol]],"Industry")</f>
        <v>Specialty Retailers</v>
      </c>
      <c r="E461" s="8">
        <v>2.8697E-2</v>
      </c>
      <c r="F461" s="11">
        <v>36.81</v>
      </c>
      <c r="G461" s="11">
        <v>-0.36</v>
      </c>
      <c r="H461" s="13" t="s">
        <v>628</v>
      </c>
      <c r="I461" s="9" cm="1">
        <f t="array" ref="I461">_FV(Table_0[[#This Row],[Symbol]],"P/E",TRUE)</f>
        <v>11.8064</v>
      </c>
      <c r="J461" s="1" cm="1">
        <f t="array" ref="J461">_FV(Table_0[[#This Row],[Symbol]],"Market cap",TRUE)</f>
        <v>8869303530</v>
      </c>
    </row>
    <row r="462" spans="1:10" x14ac:dyDescent="0.25">
      <c r="A462">
        <v>459</v>
      </c>
      <c r="B462" t="s">
        <v>484</v>
      </c>
      <c r="C462" t="e" vm="459">
        <v>#VALUE!</v>
      </c>
      <c r="D462" t="str" cm="1">
        <f t="array" ref="D462">_FV(Table_0[[#This Row],[Symbol]],"Industry")</f>
        <v>Media &amp; Publishing</v>
      </c>
      <c r="E462" s="8">
        <v>2.8531999999999998E-2</v>
      </c>
      <c r="F462" s="11">
        <v>30.12</v>
      </c>
      <c r="G462" s="11">
        <v>-0.21</v>
      </c>
      <c r="H462" s="13" t="s">
        <v>592</v>
      </c>
      <c r="I462" s="9" cm="1">
        <f t="array" ref="I462">_FV(Table_0[[#This Row],[Symbol]],"P/E",TRUE)</f>
        <v>15.2339</v>
      </c>
      <c r="J462" s="1" cm="1">
        <f t="array" ref="J462">_FV(Table_0[[#This Row],[Symbol]],"Market cap",TRUE)</f>
        <v>15993870000</v>
      </c>
    </row>
    <row r="463" spans="1:10" x14ac:dyDescent="0.25">
      <c r="A463">
        <v>460</v>
      </c>
      <c r="B463" t="s">
        <v>490</v>
      </c>
      <c r="C463" t="e" vm="460">
        <v>#VALUE!</v>
      </c>
      <c r="D463" t="str" cm="1">
        <f t="array" ref="D463">_FV(Table_0[[#This Row],[Symbol]],"Industry")</f>
        <v>Aerospace &amp; Defense</v>
      </c>
      <c r="E463" s="8">
        <v>2.8126000000000002E-2</v>
      </c>
      <c r="F463" s="11">
        <v>226.5</v>
      </c>
      <c r="G463" s="11">
        <v>-3.91</v>
      </c>
      <c r="H463" s="13" t="s">
        <v>769</v>
      </c>
      <c r="I463" s="9" cm="1">
        <f t="array" ref="I463">_FV(Table_0[[#This Row],[Symbol]],"P/E",TRUE)</f>
        <v>16.047499999999999</v>
      </c>
      <c r="J463" s="1" cm="1">
        <f t="array" ref="J463">_FV(Table_0[[#This Row],[Symbol]],"Market cap",TRUE)</f>
        <v>9038151810</v>
      </c>
    </row>
    <row r="464" spans="1:10" x14ac:dyDescent="0.25">
      <c r="A464">
        <v>461</v>
      </c>
      <c r="B464" t="s">
        <v>486</v>
      </c>
      <c r="C464" t="e" vm="461">
        <v>#VALUE!</v>
      </c>
      <c r="D464" t="str" cm="1">
        <f t="array" ref="D464">_FV(Table_0[[#This Row],[Symbol]],"Industry")</f>
        <v>Containers &amp; Packaging</v>
      </c>
      <c r="E464" s="8">
        <v>2.7481999999999999E-2</v>
      </c>
      <c r="F464" s="11">
        <v>34.29</v>
      </c>
      <c r="G464" s="11">
        <v>-0.96</v>
      </c>
      <c r="H464" s="13" t="s">
        <v>818</v>
      </c>
      <c r="I464" s="9" cm="1">
        <f t="array" ref="I464">_FV(Table_0[[#This Row],[Symbol]],"P/E",TRUE)</f>
        <v>9.6702999999999992</v>
      </c>
      <c r="J464" s="1" cm="1">
        <f t="array" ref="J464">_FV(Table_0[[#This Row],[Symbol]],"Market cap",TRUE)</f>
        <v>8724880468</v>
      </c>
    </row>
    <row r="465" spans="1:10" x14ac:dyDescent="0.25">
      <c r="A465">
        <v>462</v>
      </c>
      <c r="B465" t="s">
        <v>498</v>
      </c>
      <c r="C465" t="e" vm="462">
        <v>#VALUE!</v>
      </c>
      <c r="D465" t="str" cm="1">
        <f t="array" ref="D465">_FV(Table_0[[#This Row],[Symbol]],"Industry")</f>
        <v>Healthcare Equipment &amp; Supplies</v>
      </c>
      <c r="E465" s="8">
        <v>2.6987000000000001E-2</v>
      </c>
      <c r="F465" s="11">
        <v>402.79</v>
      </c>
      <c r="G465" s="11">
        <v>-9.85</v>
      </c>
      <c r="H465" s="13" t="s">
        <v>745</v>
      </c>
      <c r="I465" s="9" cm="1">
        <f t="array" ref="I465">_FV(Table_0[[#This Row],[Symbol]],"P/E",TRUE)</f>
        <v>2.4802</v>
      </c>
      <c r="J465" s="1" cm="1">
        <f t="array" ref="J465">_FV(Table_0[[#This Row],[Symbol]],"Market cap",TRUE)</f>
        <v>12266130000</v>
      </c>
    </row>
    <row r="466" spans="1:10" x14ac:dyDescent="0.25">
      <c r="A466">
        <v>463</v>
      </c>
      <c r="B466" t="s">
        <v>496</v>
      </c>
      <c r="C466" t="e" vm="463">
        <v>#VALUE!</v>
      </c>
      <c r="D466" t="str" cm="1">
        <f t="array" ref="D466">_FV(Table_0[[#This Row],[Symbol]],"Industry")</f>
        <v>Electrical Utilities &amp; IPPs</v>
      </c>
      <c r="E466" s="8">
        <v>2.6720000000000001E-2</v>
      </c>
      <c r="F466" s="11">
        <v>76.150000000000006</v>
      </c>
      <c r="G466" s="11">
        <v>-1.3</v>
      </c>
      <c r="H466" s="13" t="s">
        <v>713</v>
      </c>
      <c r="I466" s="9" cm="1">
        <f t="array" ref="I466">_FV(Table_0[[#This Row],[Symbol]],"P/E",TRUE)</f>
        <v>17.619</v>
      </c>
      <c r="J466" s="1" cm="1">
        <f t="array" ref="J466">_FV(Table_0[[#This Row],[Symbol]],"Market cap",TRUE)</f>
        <v>8625808848</v>
      </c>
    </row>
    <row r="467" spans="1:10" x14ac:dyDescent="0.25">
      <c r="A467">
        <v>464</v>
      </c>
      <c r="B467" t="s">
        <v>494</v>
      </c>
      <c r="C467" t="e" vm="464">
        <v>#VALUE!</v>
      </c>
      <c r="D467" t="str" cm="1">
        <f t="array" ref="D467">_FV(Table_0[[#This Row],[Symbol]],"Industry")</f>
        <v>Professional &amp; Commercial Services</v>
      </c>
      <c r="E467" s="8">
        <v>2.6651000000000001E-2</v>
      </c>
      <c r="F467" s="11">
        <v>36.54</v>
      </c>
      <c r="G467" s="11">
        <v>-0.85</v>
      </c>
      <c r="H467" s="13" t="s">
        <v>700</v>
      </c>
      <c r="I467" s="9" cm="1">
        <f t="array" ref="I467">_FV(Table_0[[#This Row],[Symbol]],"P/E",TRUE)</f>
        <v>53.249200000000002</v>
      </c>
      <c r="J467" s="1" cm="1">
        <f t="array" ref="J467">_FV(Table_0[[#This Row],[Symbol]],"Market cap",TRUE)</f>
        <v>17994941496</v>
      </c>
    </row>
    <row r="468" spans="1:10" x14ac:dyDescent="0.25">
      <c r="A468">
        <v>465</v>
      </c>
      <c r="B468" t="s">
        <v>502</v>
      </c>
      <c r="C468" t="e" vm="465">
        <v>#VALUE!</v>
      </c>
      <c r="D468" t="str" cm="1">
        <f t="array" ref="D468">_FV(Table_0[[#This Row],[Symbol]],"Industry")</f>
        <v>Hotels &amp; Entertainment Services</v>
      </c>
      <c r="E468" s="8">
        <v>2.6591E-2</v>
      </c>
      <c r="F468" s="11">
        <v>80.28</v>
      </c>
      <c r="G468" s="11">
        <v>-2.3199999999999998</v>
      </c>
      <c r="H468" s="13" t="s">
        <v>804</v>
      </c>
      <c r="I468" s="9" cm="1">
        <f t="array" ref="I468">_FV(Table_0[[#This Row],[Symbol]],"P/E",TRUE)</f>
        <v>69.583200000000005</v>
      </c>
      <c r="J468" s="1" cm="1">
        <f t="array" ref="J468">_FV(Table_0[[#This Row],[Symbol]],"Market cap",TRUE)</f>
        <v>9096815808</v>
      </c>
    </row>
    <row r="469" spans="1:10" x14ac:dyDescent="0.25">
      <c r="A469">
        <v>466</v>
      </c>
      <c r="B469" t="s">
        <v>489</v>
      </c>
      <c r="C469" t="e" vm="466">
        <v>#VALUE!</v>
      </c>
      <c r="D469" t="str" cm="1">
        <f t="array" ref="D469">_FV(Table_0[[#This Row],[Symbol]],"Industry")</f>
        <v>Specialty Retailers</v>
      </c>
      <c r="E469" s="8">
        <v>2.6449E-2</v>
      </c>
      <c r="F469" s="11">
        <v>138.94</v>
      </c>
      <c r="G469" s="11">
        <v>-3.35</v>
      </c>
      <c r="H469" s="13" t="s">
        <v>678</v>
      </c>
      <c r="I469" s="9" cm="1">
        <f t="array" ref="I469">_FV(Table_0[[#This Row],[Symbol]],"P/E",TRUE)</f>
        <v>18.253599999999999</v>
      </c>
      <c r="J469" s="1" cm="1">
        <f t="array" ref="J469">_FV(Table_0[[#This Row],[Symbol]],"Market cap",TRUE)</f>
        <v>8232711856</v>
      </c>
    </row>
    <row r="470" spans="1:10" x14ac:dyDescent="0.25">
      <c r="A470">
        <v>467</v>
      </c>
      <c r="B470" t="s">
        <v>485</v>
      </c>
      <c r="C470" t="e" vm="467">
        <v>#VALUE!</v>
      </c>
      <c r="D470" t="str" cm="1">
        <f t="array" ref="D470">_FV(Table_0[[#This Row],[Symbol]],"Industry")</f>
        <v>Banking Services</v>
      </c>
      <c r="E470" s="8">
        <v>2.6266999999999999E-2</v>
      </c>
      <c r="F470" s="11">
        <v>63.9</v>
      </c>
      <c r="G470" s="11">
        <v>-1.1299999999999999</v>
      </c>
      <c r="H470" s="13" t="s">
        <v>612</v>
      </c>
      <c r="I470" s="9" cm="1">
        <f t="array" ref="I470">_FV(Table_0[[#This Row],[Symbol]],"P/E",TRUE)</f>
        <v>8.6137999999999995</v>
      </c>
      <c r="J470" s="1" cm="1">
        <f t="array" ref="J470">_FV(Table_0[[#This Row],[Symbol]],"Market cap",TRUE)</f>
        <v>8367858360</v>
      </c>
    </row>
    <row r="471" spans="1:10" x14ac:dyDescent="0.25">
      <c r="A471">
        <v>468</v>
      </c>
      <c r="B471" t="s">
        <v>482</v>
      </c>
      <c r="C471" t="e" vm="468">
        <v>#VALUE!</v>
      </c>
      <c r="D471" t="str" cm="1">
        <f t="array" ref="D471">_FV(Table_0[[#This Row],[Symbol]],"Industry")</f>
        <v>Media &amp; Publishing</v>
      </c>
      <c r="E471" s="8">
        <v>2.6157E-2</v>
      </c>
      <c r="F471" s="11">
        <v>16.34</v>
      </c>
      <c r="G471" s="11">
        <v>-0.55000000000000004</v>
      </c>
      <c r="H471" s="13" t="s">
        <v>778</v>
      </c>
      <c r="I471" s="9" cm="1">
        <f t="array" ref="I471">_FV(Table_0[[#This Row],[Symbol]],"P/E",TRUE)</f>
        <v>3.5767000000000002</v>
      </c>
      <c r="J471" s="1" cm="1">
        <f t="array" ref="J471">_FV(Table_0[[#This Row],[Symbol]],"Market cap",TRUE)</f>
        <v>11077330000</v>
      </c>
    </row>
    <row r="472" spans="1:10" x14ac:dyDescent="0.25">
      <c r="A472">
        <v>469</v>
      </c>
      <c r="B472" t="s">
        <v>492</v>
      </c>
      <c r="C472" t="e" vm="469">
        <v>#VALUE!</v>
      </c>
      <c r="D472" t="str" cm="1">
        <f t="array" ref="D472">_FV(Table_0[[#This Row],[Symbol]],"Industry")</f>
        <v>Software &amp; IT Services</v>
      </c>
      <c r="E472" s="8">
        <v>2.5947999999999999E-2</v>
      </c>
      <c r="F472" s="11">
        <v>138.43</v>
      </c>
      <c r="G472" s="11">
        <v>-3.68</v>
      </c>
      <c r="H472" s="13" t="s">
        <v>693</v>
      </c>
      <c r="I472" s="9" cm="1">
        <f t="array" ref="I472">_FV(Table_0[[#This Row],[Symbol]],"P/E",TRUE)</f>
        <v>26.9086</v>
      </c>
      <c r="J472" s="1" cm="1">
        <f t="array" ref="J472">_FV(Table_0[[#This Row],[Symbol]],"Market cap",TRUE)</f>
        <v>8358637740</v>
      </c>
    </row>
    <row r="473" spans="1:10" x14ac:dyDescent="0.25">
      <c r="A473">
        <v>470</v>
      </c>
      <c r="B473" t="s">
        <v>497</v>
      </c>
      <c r="C473" t="e" vm="470">
        <v>#VALUE!</v>
      </c>
      <c r="D473" t="str" cm="1">
        <f t="array" ref="D473">_FV(Table_0[[#This Row],[Symbol]],"Industry")</f>
        <v>Investment Banking &amp; Investment Services</v>
      </c>
      <c r="E473" s="8">
        <v>2.5894E-2</v>
      </c>
      <c r="F473" s="11">
        <v>17.97</v>
      </c>
      <c r="G473" s="11">
        <v>-0.59</v>
      </c>
      <c r="H473" s="13" t="s">
        <v>725</v>
      </c>
      <c r="I473" s="9" cm="1">
        <f t="array" ref="I473">_FV(Table_0[[#This Row],[Symbol]],"P/E",TRUE)</f>
        <v>9.2859999999999996</v>
      </c>
      <c r="J473" s="1" cm="1">
        <f t="array" ref="J473">_FV(Table_0[[#This Row],[Symbol]],"Market cap",TRUE)</f>
        <v>8170482000</v>
      </c>
    </row>
    <row r="474" spans="1:10" x14ac:dyDescent="0.25">
      <c r="A474">
        <v>471</v>
      </c>
      <c r="B474" t="s">
        <v>493</v>
      </c>
      <c r="C474" t="e" vm="471">
        <v>#VALUE!</v>
      </c>
      <c r="D474" t="str" cm="1">
        <f t="array" ref="D474">_FV(Table_0[[#This Row],[Symbol]],"Industry")</f>
        <v>Passenger Transportation Services</v>
      </c>
      <c r="E474" s="8">
        <v>2.5624999999999998E-2</v>
      </c>
      <c r="F474" s="11">
        <v>12.25</v>
      </c>
      <c r="G474" s="11">
        <v>-0.79</v>
      </c>
      <c r="H474" s="13" t="s">
        <v>853</v>
      </c>
      <c r="I474" s="9" cm="1">
        <f t="array" ref="I474">_FV(Table_0[[#This Row],[Symbol]],"P/E",TRUE)</f>
        <v>3.3195999999999999</v>
      </c>
      <c r="J474" s="1" cm="1">
        <f t="array" ref="J474">_FV(Table_0[[#This Row],[Symbol]],"Market cap",TRUE)</f>
        <v>7958036520</v>
      </c>
    </row>
    <row r="475" spans="1:10" x14ac:dyDescent="0.25">
      <c r="A475">
        <v>472</v>
      </c>
      <c r="B475" t="s">
        <v>491</v>
      </c>
      <c r="C475" t="e" vm="472">
        <v>#VALUE!</v>
      </c>
      <c r="D475" t="str" cm="1">
        <f t="array" ref="D475">_FV(Table_0[[#This Row],[Symbol]],"Industry")</f>
        <v>Hotels &amp; Entertainment Services</v>
      </c>
      <c r="E475" s="8">
        <v>2.5321E-2</v>
      </c>
      <c r="F475" s="11">
        <v>7.69</v>
      </c>
      <c r="G475" s="11">
        <v>-0.79</v>
      </c>
      <c r="H475" s="13" t="s">
        <v>877</v>
      </c>
      <c r="I475" s="9" cm="1">
        <f t="array" ref="I475">_FV(Table_0[[#This Row],[Symbol]],"P/E",TRUE)</f>
        <v>0</v>
      </c>
      <c r="J475" s="1" cm="1">
        <f t="array" ref="J475">_FV(Table_0[[#This Row],[Symbol]],"Market cap",TRUE)</f>
        <v>8705823000</v>
      </c>
    </row>
    <row r="476" spans="1:10" x14ac:dyDescent="0.25">
      <c r="A476">
        <v>473</v>
      </c>
      <c r="B476" t="s">
        <v>466</v>
      </c>
      <c r="C476" t="e" vm="473">
        <v>#VALUE!</v>
      </c>
      <c r="D476" t="str" cm="1">
        <f t="array" ref="D476">_FV(Table_0[[#This Row],[Symbol]],"Industry")</f>
        <v>Textiles &amp; Apparel</v>
      </c>
      <c r="E476" s="8">
        <v>2.5069999999999999E-2</v>
      </c>
      <c r="F476" s="11">
        <v>25.71</v>
      </c>
      <c r="G476" s="11">
        <v>0.25</v>
      </c>
      <c r="H476" s="13" t="s">
        <v>610</v>
      </c>
      <c r="I476" s="9" cm="1">
        <f t="array" ref="I476">_FV(Table_0[[#This Row],[Symbol]],"P/E",TRUE)</f>
        <v>23.657800000000002</v>
      </c>
      <c r="J476" s="1" cm="1">
        <f t="array" ref="J476">_FV(Table_0[[#This Row],[Symbol]],"Market cap",TRUE)</f>
        <v>9990034431</v>
      </c>
    </row>
    <row r="477" spans="1:10" x14ac:dyDescent="0.25">
      <c r="A477">
        <v>474</v>
      </c>
      <c r="B477" t="s">
        <v>500</v>
      </c>
      <c r="C477" t="e" vm="474">
        <v>#VALUE!</v>
      </c>
      <c r="D477" t="str" cm="1">
        <f t="array" ref="D477">_FV(Table_0[[#This Row],[Symbol]],"Industry")</f>
        <v>Professional &amp; Commercial Services</v>
      </c>
      <c r="E477" s="8">
        <v>2.4725E-2</v>
      </c>
      <c r="F477" s="11">
        <v>71.27</v>
      </c>
      <c r="G477" s="11">
        <v>-1.89</v>
      </c>
      <c r="H477" s="13" t="s">
        <v>737</v>
      </c>
      <c r="I477" s="9" cm="1">
        <f t="array" ref="I477">_FV(Table_0[[#This Row],[Symbol]],"P/E",TRUE)</f>
        <v>11.8629</v>
      </c>
      <c r="J477" s="1" cm="1">
        <f t="array" ref="J477">_FV(Table_0[[#This Row],[Symbol]],"Market cap",TRUE)</f>
        <v>7732688095</v>
      </c>
    </row>
    <row r="478" spans="1:10" x14ac:dyDescent="0.25">
      <c r="A478">
        <v>475</v>
      </c>
      <c r="B478" t="s">
        <v>501</v>
      </c>
      <c r="C478" t="e" vm="475">
        <v>#VALUE!</v>
      </c>
      <c r="D478" t="str" cm="1">
        <f t="array" ref="D478">_FV(Table_0[[#This Row],[Symbol]],"Industry")</f>
        <v>Pharmaceuticals</v>
      </c>
      <c r="E478" s="8">
        <v>2.3746E-2</v>
      </c>
      <c r="F478" s="11">
        <v>41.64</v>
      </c>
      <c r="G478" s="11">
        <v>-1.81</v>
      </c>
      <c r="H478" s="13" t="s">
        <v>747</v>
      </c>
      <c r="I478" s="9" cm="1">
        <f t="array" ref="I478">_FV(Table_0[[#This Row],[Symbol]],"P/E",TRUE)</f>
        <v>18.587599999999998</v>
      </c>
      <c r="J478" s="1" cm="1">
        <f t="array" ref="J478">_FV(Table_0[[#This Row],[Symbol]],"Market cap",TRUE)</f>
        <v>7493684304</v>
      </c>
    </row>
    <row r="479" spans="1:10" x14ac:dyDescent="0.25">
      <c r="A479">
        <v>476</v>
      </c>
      <c r="B479" t="s">
        <v>504</v>
      </c>
      <c r="C479" t="e" vm="476">
        <v>#VALUE!</v>
      </c>
      <c r="D479" t="str" cm="1">
        <f t="array" ref="D479">_FV(Table_0[[#This Row],[Symbol]],"Industry")</f>
        <v>Household Goods</v>
      </c>
      <c r="E479" s="8">
        <v>2.3594E-2</v>
      </c>
      <c r="F479" s="11">
        <v>137.26</v>
      </c>
      <c r="G479" s="11">
        <v>-3.95</v>
      </c>
      <c r="H479" s="13" t="s">
        <v>674</v>
      </c>
      <c r="I479" s="9" cm="1">
        <f t="array" ref="I479">_FV(Table_0[[#This Row],[Symbol]],"P/E",TRUE)</f>
        <v>23.9833</v>
      </c>
      <c r="J479" s="1" cm="1">
        <f t="array" ref="J479">_FV(Table_0[[#This Row],[Symbol]],"Market cap",TRUE)</f>
        <v>7477698320</v>
      </c>
    </row>
    <row r="480" spans="1:10" x14ac:dyDescent="0.25">
      <c r="A480">
        <v>477</v>
      </c>
      <c r="B480" t="s">
        <v>480</v>
      </c>
      <c r="C480" t="e" vm="477">
        <v>#VALUE!</v>
      </c>
      <c r="D480" t="str" cm="1">
        <f t="array" ref="D480">_FV(Table_0[[#This Row],[Symbol]],"Industry")</f>
        <v>Electrical Utilities &amp; IPPs</v>
      </c>
      <c r="E480" s="8">
        <v>2.3397000000000001E-2</v>
      </c>
      <c r="F480" s="11">
        <v>31.49</v>
      </c>
      <c r="G480" s="11">
        <v>-0.94</v>
      </c>
      <c r="H480" s="13" t="s">
        <v>794</v>
      </c>
      <c r="I480" s="9" cm="1">
        <f t="array" ref="I480">_FV(Table_0[[#This Row],[Symbol]],"P/E",TRUE)</f>
        <v>4.1139999999999999</v>
      </c>
      <c r="J480" s="1" cm="1">
        <f t="array" ref="J480">_FV(Table_0[[#This Row],[Symbol]],"Market cap",TRUE)</f>
        <v>7253646537</v>
      </c>
    </row>
    <row r="481" spans="1:10" x14ac:dyDescent="0.25">
      <c r="A481">
        <v>478</v>
      </c>
      <c r="B481" t="s">
        <v>508</v>
      </c>
      <c r="C481" t="e" vm="478">
        <v>#VALUE!</v>
      </c>
      <c r="D481" t="str" cm="1">
        <f t="array" ref="D481">_FV(Table_0[[#This Row],[Symbol]],"Industry")</f>
        <v>Residential &amp; Commercial REIT</v>
      </c>
      <c r="E481" s="8">
        <v>2.2901999999999999E-2</v>
      </c>
      <c r="F481" s="11">
        <v>100</v>
      </c>
      <c r="G481" s="11">
        <v>-1.76</v>
      </c>
      <c r="H481" s="13" t="s">
        <v>636</v>
      </c>
      <c r="I481" s="9" cm="1">
        <f t="array" ref="I481">_FV(Table_0[[#This Row],[Symbol]],"P/E",TRUE)</f>
        <v>21.5761</v>
      </c>
      <c r="J481" s="1" cm="1">
        <f t="array" ref="J481">_FV(Table_0[[#This Row],[Symbol]],"Market cap",TRUE)</f>
        <v>8123384284</v>
      </c>
    </row>
    <row r="482" spans="1:10" x14ac:dyDescent="0.25">
      <c r="A482">
        <v>479</v>
      </c>
      <c r="B482" t="s">
        <v>506</v>
      </c>
      <c r="C482" t="s">
        <v>777</v>
      </c>
      <c r="D482" t="e" cm="1" vm="479">
        <f t="array" ref="D482">_FV(Table_0[[#This Row],[Symbol]],"Industry")</f>
        <v>#VALUE!</v>
      </c>
      <c r="E482" s="8">
        <v>2.2901000000000001E-2</v>
      </c>
      <c r="F482" s="11">
        <v>48.57</v>
      </c>
      <c r="G482" s="11">
        <v>-1.71</v>
      </c>
      <c r="H482" s="13" t="s">
        <v>680</v>
      </c>
      <c r="I482" s="9" t="e" cm="1" vm="480">
        <f t="array" ref="I482">_FV(Table_0[[#This Row],[Symbol]],"P/E",TRUE)</f>
        <v>#VALUE!</v>
      </c>
      <c r="J482" s="1" t="e" cm="1" vm="481">
        <f t="array" ref="J482">_FV(Table_0[[#This Row],[Symbol]],"Market cap",TRUE)</f>
        <v>#VALUE!</v>
      </c>
    </row>
    <row r="483" spans="1:10" x14ac:dyDescent="0.25">
      <c r="A483">
        <v>480</v>
      </c>
      <c r="B483" t="s">
        <v>503</v>
      </c>
      <c r="C483" t="e" vm="482">
        <v>#VALUE!</v>
      </c>
      <c r="D483" t="str" cm="1">
        <f t="array" ref="D483">_FV(Table_0[[#This Row],[Symbol]],"Industry")</f>
        <v>Leisure Products</v>
      </c>
      <c r="E483" s="8">
        <v>2.2581E-2</v>
      </c>
      <c r="F483" s="11">
        <v>56.1</v>
      </c>
      <c r="G483" s="11">
        <v>-1.61</v>
      </c>
      <c r="H483" s="13" t="s">
        <v>775</v>
      </c>
      <c r="I483" s="9" cm="1">
        <f t="array" ref="I483">_FV(Table_0[[#This Row],[Symbol]],"P/E",TRUE)</f>
        <v>19.336400000000001</v>
      </c>
      <c r="J483" s="1" cm="1">
        <f t="array" ref="J483">_FV(Table_0[[#This Row],[Symbol]],"Market cap",TRUE)</f>
        <v>7734367200</v>
      </c>
    </row>
    <row r="484" spans="1:10" x14ac:dyDescent="0.25">
      <c r="A484">
        <v>481</v>
      </c>
      <c r="B484" t="s">
        <v>505</v>
      </c>
      <c r="C484" t="e" vm="483">
        <v>#VALUE!</v>
      </c>
      <c r="D484" t="str" cm="1">
        <f t="array" ref="D484">_FV(Table_0[[#This Row],[Symbol]],"Industry")</f>
        <v>Machinery, Equipment &amp; Components</v>
      </c>
      <c r="E484" s="8">
        <v>2.2539E-2</v>
      </c>
      <c r="F484" s="11">
        <v>55.67</v>
      </c>
      <c r="G484" s="11">
        <v>-1.57</v>
      </c>
      <c r="H484" s="13" t="s">
        <v>797</v>
      </c>
      <c r="I484" s="9" cm="1">
        <f t="array" ref="I484">_FV(Table_0[[#This Row],[Symbol]],"P/E",TRUE)</f>
        <v>18.198</v>
      </c>
      <c r="J484" s="1" cm="1">
        <f t="array" ref="J484">_FV(Table_0[[#This Row],[Symbol]],"Market cap",TRUE)</f>
        <v>8501956575</v>
      </c>
    </row>
    <row r="485" spans="1:10" x14ac:dyDescent="0.25">
      <c r="A485">
        <v>482</v>
      </c>
      <c r="B485" t="s">
        <v>510</v>
      </c>
      <c r="C485" t="e" vm="484">
        <v>#VALUE!</v>
      </c>
      <c r="D485" t="str" cm="1">
        <f t="array" ref="D485">_FV(Table_0[[#This Row],[Symbol]],"Industry")</f>
        <v>Investment Banking &amp; Investment Services</v>
      </c>
      <c r="E485" s="8">
        <v>2.2520999999999999E-2</v>
      </c>
      <c r="F485" s="11">
        <v>25.98</v>
      </c>
      <c r="G485" s="11">
        <v>-0.94</v>
      </c>
      <c r="H485" s="13" t="s">
        <v>811</v>
      </c>
      <c r="I485" s="9" cm="1">
        <f t="array" ref="I485">_FV(Table_0[[#This Row],[Symbol]],"P/E",TRUE)</f>
        <v>10.643599999999999</v>
      </c>
      <c r="J485" s="1" cm="1">
        <f t="array" ref="J485">_FV(Table_0[[#This Row],[Symbol]],"Market cap",TRUE)</f>
        <v>12976034635</v>
      </c>
    </row>
    <row r="486" spans="1:10" x14ac:dyDescent="0.25">
      <c r="A486">
        <v>483</v>
      </c>
      <c r="B486" t="s">
        <v>509</v>
      </c>
      <c r="C486" t="e" vm="485">
        <v>#VALUE!</v>
      </c>
      <c r="D486" t="str" cm="1">
        <f t="array" ref="D486">_FV(Table_0[[#This Row],[Symbol]],"Industry")</f>
        <v>Machinery, Equipment &amp; Components</v>
      </c>
      <c r="E486" s="8">
        <v>2.2450999999999999E-2</v>
      </c>
      <c r="F486" s="11">
        <v>43.54</v>
      </c>
      <c r="G486" s="11">
        <v>-1.01</v>
      </c>
      <c r="H486" s="13" t="s">
        <v>700</v>
      </c>
      <c r="I486" s="9" cm="1">
        <f t="array" ref="I486">_FV(Table_0[[#This Row],[Symbol]],"P/E",TRUE)</f>
        <v>13.813599999999999</v>
      </c>
      <c r="J486" s="1" cm="1">
        <f t="array" ref="J486">_FV(Table_0[[#This Row],[Symbol]],"Market cap",TRUE)</f>
        <v>7162260336</v>
      </c>
    </row>
    <row r="487" spans="1:10" x14ac:dyDescent="0.25">
      <c r="A487">
        <v>484</v>
      </c>
      <c r="B487" t="s">
        <v>499</v>
      </c>
      <c r="C487" t="e" vm="486">
        <v>#VALUE!</v>
      </c>
      <c r="D487" t="str" cm="1">
        <f t="array" ref="D487">_FV(Table_0[[#This Row],[Symbol]],"Industry")</f>
        <v>Banking Services</v>
      </c>
      <c r="E487" s="8">
        <v>2.2057E-2</v>
      </c>
      <c r="F487" s="11">
        <v>111.21</v>
      </c>
      <c r="G487" s="11">
        <v>-4.03</v>
      </c>
      <c r="H487" s="13" t="s">
        <v>795</v>
      </c>
      <c r="I487" s="9" cm="1">
        <f t="array" ref="I487">_FV(Table_0[[#This Row],[Symbol]],"P/E",TRUE)</f>
        <v>5.6300999999999997</v>
      </c>
      <c r="J487" s="1" cm="1">
        <f t="array" ref="J487">_FV(Table_0[[#This Row],[Symbol]],"Market cap",TRUE)</f>
        <v>6998326305</v>
      </c>
    </row>
    <row r="488" spans="1:10" x14ac:dyDescent="0.25">
      <c r="A488">
        <v>485</v>
      </c>
      <c r="B488" t="s">
        <v>507</v>
      </c>
      <c r="C488" t="e" vm="487">
        <v>#VALUE!</v>
      </c>
      <c r="D488" t="str" cm="1">
        <f t="array" ref="D488">_FV(Table_0[[#This Row],[Symbol]],"Industry")</f>
        <v>Banking Services</v>
      </c>
      <c r="E488" s="8">
        <v>2.2003000000000002E-2</v>
      </c>
      <c r="F488" s="11">
        <v>47.1</v>
      </c>
      <c r="G488" s="11">
        <v>-0.47</v>
      </c>
      <c r="H488" s="13" t="s">
        <v>621</v>
      </c>
      <c r="I488" s="9" cm="1">
        <f t="array" ref="I488">_FV(Table_0[[#This Row],[Symbol]],"P/E",TRUE)</f>
        <v>8.9986999999999995</v>
      </c>
      <c r="J488" s="1" cm="1">
        <f t="array" ref="J488">_FV(Table_0[[#This Row],[Symbol]],"Market cap",TRUE)</f>
        <v>7117316000</v>
      </c>
    </row>
    <row r="489" spans="1:10" x14ac:dyDescent="0.25">
      <c r="A489">
        <v>486</v>
      </c>
      <c r="B489" t="s">
        <v>517</v>
      </c>
      <c r="C489" t="e" vm="488">
        <v>#VALUE!</v>
      </c>
      <c r="D489" t="str" cm="1">
        <f t="array" ref="D489">_FV(Table_0[[#This Row],[Symbol]],"Industry")</f>
        <v>Pharmaceuticals</v>
      </c>
      <c r="E489" s="8">
        <v>2.1530000000000001E-2</v>
      </c>
      <c r="F489" s="11">
        <v>27.28</v>
      </c>
      <c r="G489" s="11">
        <v>-0.51</v>
      </c>
      <c r="H489" s="13" t="s">
        <v>717</v>
      </c>
      <c r="I489" s="9" cm="1">
        <f t="array" ref="I489">_FV(Table_0[[#This Row],[Symbol]],"P/E",TRUE)</f>
        <v>7.0098000000000003</v>
      </c>
      <c r="J489" s="1" cm="1">
        <f t="array" ref="J489">_FV(Table_0[[#This Row],[Symbol]],"Market cap",TRUE)</f>
        <v>6939060832</v>
      </c>
    </row>
    <row r="490" spans="1:10" x14ac:dyDescent="0.25">
      <c r="A490">
        <v>487</v>
      </c>
      <c r="B490" t="s">
        <v>511</v>
      </c>
      <c r="C490" t="e" vm="489">
        <v>#VALUE!</v>
      </c>
      <c r="D490" t="str" cm="1">
        <f t="array" ref="D490">_FV(Table_0[[#This Row],[Symbol]],"Industry")</f>
        <v>Media &amp; Publishing</v>
      </c>
      <c r="E490" s="8">
        <v>2.1218999999999998E-2</v>
      </c>
      <c r="F490" s="11">
        <v>17.57</v>
      </c>
      <c r="G490" s="11">
        <v>-0.16</v>
      </c>
      <c r="H490" s="13" t="s">
        <v>407</v>
      </c>
      <c r="I490" s="9" cm="1">
        <f t="array" ref="I490">_FV(Table_0[[#This Row],[Symbol]],"P/E",TRUE)</f>
        <v>22.294</v>
      </c>
      <c r="J490" s="1" cm="1">
        <f t="array" ref="J490">_FV(Table_0[[#This Row],[Symbol]],"Market cap",TRUE)</f>
        <v>10252270000</v>
      </c>
    </row>
    <row r="491" spans="1:10" x14ac:dyDescent="0.25">
      <c r="A491">
        <v>488</v>
      </c>
      <c r="B491" t="s">
        <v>515</v>
      </c>
      <c r="C491" t="e" vm="490">
        <v>#VALUE!</v>
      </c>
      <c r="D491" t="str" cm="1">
        <f t="array" ref="D491">_FV(Table_0[[#This Row],[Symbol]],"Industry")</f>
        <v>Healthcare Equipment &amp; Supplies</v>
      </c>
      <c r="E491" s="8">
        <v>2.0808E-2</v>
      </c>
      <c r="F491" s="11">
        <v>30.76</v>
      </c>
      <c r="G491" s="11">
        <v>-0.57999999999999996</v>
      </c>
      <c r="H491" s="13" t="s">
        <v>717</v>
      </c>
      <c r="I491" s="9" cm="1">
        <f t="array" ref="I491">_FV(Table_0[[#This Row],[Symbol]],"P/E",TRUE)</f>
        <v>19.718499999999999</v>
      </c>
      <c r="J491" s="1" cm="1">
        <f t="array" ref="J491">_FV(Table_0[[#This Row],[Symbol]],"Market cap",TRUE)</f>
        <v>6609615484</v>
      </c>
    </row>
    <row r="492" spans="1:10" x14ac:dyDescent="0.25">
      <c r="A492">
        <v>489</v>
      </c>
      <c r="B492" t="s">
        <v>512</v>
      </c>
      <c r="C492" t="e" vm="491">
        <v>#VALUE!</v>
      </c>
      <c r="D492" t="str" cm="1">
        <f t="array" ref="D492">_FV(Table_0[[#This Row],[Symbol]],"Industry")</f>
        <v>Insurance</v>
      </c>
      <c r="E492" s="8">
        <v>2.0183E-2</v>
      </c>
      <c r="F492" s="11">
        <v>122.23</v>
      </c>
      <c r="G492" s="11">
        <v>-1.3</v>
      </c>
      <c r="H492" s="13" t="s">
        <v>611</v>
      </c>
      <c r="I492" s="9" cm="1">
        <f t="array" ref="I492">_FV(Table_0[[#This Row],[Symbol]],"P/E",TRUE)</f>
        <v>20.714400000000001</v>
      </c>
      <c r="J492" s="1" cm="1">
        <f t="array" ref="J492">_FV(Table_0[[#This Row],[Symbol]],"Market cap",TRUE)</f>
        <v>6457585688</v>
      </c>
    </row>
    <row r="493" spans="1:10" x14ac:dyDescent="0.25">
      <c r="A493">
        <v>490</v>
      </c>
      <c r="B493" t="s">
        <v>513</v>
      </c>
      <c r="C493" t="e" vm="492">
        <v>#VALUE!</v>
      </c>
      <c r="D493" t="str" cm="1">
        <f t="array" ref="D493">_FV(Table_0[[#This Row],[Symbol]],"Industry")</f>
        <v>Software &amp; IT Services</v>
      </c>
      <c r="E493" s="8">
        <v>1.8894000000000001E-2</v>
      </c>
      <c r="F493" s="11">
        <v>25.88</v>
      </c>
      <c r="G493" s="11">
        <v>-0.92</v>
      </c>
      <c r="H493" s="13" t="s">
        <v>718</v>
      </c>
      <c r="I493" s="9" cm="1">
        <f t="array" ref="I493">_FV(Table_0[[#This Row],[Symbol]],"P/E",TRUE)</f>
        <v>8.7361000000000004</v>
      </c>
      <c r="J493" s="1" cm="1">
        <f t="array" ref="J493">_FV(Table_0[[#This Row],[Symbol]],"Market cap",TRUE)</f>
        <v>5952937050</v>
      </c>
    </row>
    <row r="494" spans="1:10" x14ac:dyDescent="0.25">
      <c r="A494">
        <v>491</v>
      </c>
      <c r="B494" t="s">
        <v>516</v>
      </c>
      <c r="C494" t="e" vm="493">
        <v>#VALUE!</v>
      </c>
      <c r="D494" t="str" cm="1">
        <f t="array" ref="D494">_FV(Table_0[[#This Row],[Symbol]],"Industry")</f>
        <v>Machinery, Equipment &amp; Components</v>
      </c>
      <c r="E494" s="8">
        <v>1.7677999999999999E-2</v>
      </c>
      <c r="F494" s="11">
        <v>87.13</v>
      </c>
      <c r="G494" s="11">
        <v>-4.95</v>
      </c>
      <c r="H494" s="13" t="s">
        <v>828</v>
      </c>
      <c r="I494" s="9" cm="1">
        <f t="array" ref="I494">_FV(Table_0[[#This Row],[Symbol]],"P/E",TRUE)</f>
        <v>13.87</v>
      </c>
      <c r="J494" s="1" cm="1">
        <f t="array" ref="J494">_FV(Table_0[[#This Row],[Symbol]],"Market cap",TRUE)</f>
        <v>5520243132</v>
      </c>
    </row>
    <row r="495" spans="1:10" x14ac:dyDescent="0.25">
      <c r="A495">
        <v>492</v>
      </c>
      <c r="B495" t="s">
        <v>514</v>
      </c>
      <c r="C495" t="e" vm="494">
        <v>#VALUE!</v>
      </c>
      <c r="D495" t="str" cm="1">
        <f t="array" ref="D495">_FV(Table_0[[#This Row],[Symbol]],"Industry")</f>
        <v>Hotels &amp; Entertainment Services</v>
      </c>
      <c r="E495" s="8">
        <v>1.7502E-2</v>
      </c>
      <c r="F495" s="11">
        <v>12.81</v>
      </c>
      <c r="G495" s="11">
        <v>-0.95</v>
      </c>
      <c r="H495" s="13" t="s">
        <v>878</v>
      </c>
      <c r="I495" s="9" cm="1">
        <f t="array" ref="I495">_FV(Table_0[[#This Row],[Symbol]],"P/E",TRUE)</f>
        <v>0</v>
      </c>
      <c r="J495" s="1" cm="1">
        <f t="array" ref="J495">_FV(Table_0[[#This Row],[Symbol]],"Market cap",TRUE)</f>
        <v>5393870080</v>
      </c>
    </row>
    <row r="496" spans="1:10" x14ac:dyDescent="0.25">
      <c r="A496">
        <v>493</v>
      </c>
      <c r="B496" t="s">
        <v>519</v>
      </c>
      <c r="C496" t="e" vm="495">
        <v>#VALUE!</v>
      </c>
      <c r="D496" t="str" cm="1">
        <f t="array" ref="D496">_FV(Table_0[[#This Row],[Symbol]],"Industry")</f>
        <v>Passenger Transportation Services</v>
      </c>
      <c r="E496" s="8">
        <v>1.6687E-2</v>
      </c>
      <c r="F496" s="11">
        <v>42.24</v>
      </c>
      <c r="G496" s="11">
        <v>-1.62</v>
      </c>
      <c r="H496" s="13" t="s">
        <v>770</v>
      </c>
      <c r="I496" s="9" cm="1">
        <f t="array" ref="I496">_FV(Table_0[[#This Row],[Symbol]],"P/E",TRUE)</f>
        <v>148.45650000000001</v>
      </c>
      <c r="J496" s="1" cm="1">
        <f t="array" ref="J496">_FV(Table_0[[#This Row],[Symbol]],"Market cap",TRUE)</f>
        <v>5357628672</v>
      </c>
    </row>
    <row r="497" spans="1:10" x14ac:dyDescent="0.25">
      <c r="A497">
        <v>494</v>
      </c>
      <c r="B497" t="s">
        <v>520</v>
      </c>
      <c r="C497" t="e" vm="496">
        <v>#VALUE!</v>
      </c>
      <c r="D497" t="str" cm="1">
        <f t="array" ref="D497">_FV(Table_0[[#This Row],[Symbol]],"Industry")</f>
        <v>Household Goods</v>
      </c>
      <c r="E497" s="8">
        <v>1.5328E-2</v>
      </c>
      <c r="F497" s="11">
        <v>94.51</v>
      </c>
      <c r="G497" s="11">
        <v>-2.73</v>
      </c>
      <c r="H497" s="13" t="s">
        <v>804</v>
      </c>
      <c r="I497" s="9" cm="1">
        <f t="array" ref="I497">_FV(Table_0[[#This Row],[Symbol]],"P/E",TRUE)</f>
        <v>37.879899999999999</v>
      </c>
      <c r="J497" s="1" cm="1">
        <f t="array" ref="J497">_FV(Table_0[[#This Row],[Symbol]],"Market cap",TRUE)</f>
        <v>6004601175</v>
      </c>
    </row>
    <row r="498" spans="1:10" x14ac:dyDescent="0.25">
      <c r="A498">
        <v>495</v>
      </c>
      <c r="B498" t="s">
        <v>522</v>
      </c>
      <c r="C498" t="e" vm="497">
        <v>#VALUE!</v>
      </c>
      <c r="D498" t="str" cm="1">
        <f t="array" ref="D498">_FV(Table_0[[#This Row],[Symbol]],"Industry")</f>
        <v>Household Goods</v>
      </c>
      <c r="E498" s="8">
        <v>1.4922E-2</v>
      </c>
      <c r="F498" s="11">
        <v>12.52</v>
      </c>
      <c r="G498" s="11">
        <v>-0.37</v>
      </c>
      <c r="H498" s="13" t="s">
        <v>794</v>
      </c>
      <c r="I498" s="9" cm="1">
        <f t="array" ref="I498">_FV(Table_0[[#This Row],[Symbol]],"P/E",TRUE)</f>
        <v>9.6149000000000004</v>
      </c>
      <c r="J498" s="1" cm="1">
        <f t="array" ref="J498">_FV(Table_0[[#This Row],[Symbol]],"Market cap",TRUE)</f>
        <v>5177858400</v>
      </c>
    </row>
    <row r="499" spans="1:10" x14ac:dyDescent="0.25">
      <c r="A499">
        <v>496</v>
      </c>
      <c r="B499" t="s">
        <v>521</v>
      </c>
      <c r="C499" t="e" vm="498">
        <v>#VALUE!</v>
      </c>
      <c r="D499" t="str" cm="1">
        <f t="array" ref="D499">_FV(Table_0[[#This Row],[Symbol]],"Industry")</f>
        <v>Telecommunications Services</v>
      </c>
      <c r="E499" s="8">
        <v>1.4893999999999999E-2</v>
      </c>
      <c r="F499" s="11">
        <v>5.09</v>
      </c>
      <c r="G499" s="11">
        <v>-0.22</v>
      </c>
      <c r="H499" s="13" t="s">
        <v>835</v>
      </c>
      <c r="I499" s="9" cm="1">
        <f t="array" ref="I499">_FV(Table_0[[#This Row],[Symbol]],"P/E",TRUE)</f>
        <v>2.6539999999999999</v>
      </c>
      <c r="J499" s="1" cm="1">
        <f t="array" ref="J499">_FV(Table_0[[#This Row],[Symbol]],"Market cap",TRUE)</f>
        <v>5260854555</v>
      </c>
    </row>
    <row r="500" spans="1:10" x14ac:dyDescent="0.25">
      <c r="A500">
        <v>497</v>
      </c>
      <c r="B500" t="s">
        <v>518</v>
      </c>
      <c r="C500" t="e" vm="499">
        <v>#VALUE!</v>
      </c>
      <c r="D500" t="str" cm="1">
        <f t="array" ref="D500">_FV(Table_0[[#This Row],[Symbol]],"Industry")</f>
        <v>Insurance</v>
      </c>
      <c r="E500" s="8">
        <v>1.4401000000000001E-2</v>
      </c>
      <c r="F500" s="11">
        <v>28.83</v>
      </c>
      <c r="G500" s="11">
        <v>-1.46</v>
      </c>
      <c r="H500" s="13" t="s">
        <v>812</v>
      </c>
      <c r="I500" s="9" cm="1">
        <f t="array" ref="I500">_FV(Table_0[[#This Row],[Symbol]],"P/E",TRUE)</f>
        <v>6.7282000000000002</v>
      </c>
      <c r="J500" s="1" cm="1">
        <f t="array" ref="J500">_FV(Table_0[[#This Row],[Symbol]],"Market cap",TRUE)</f>
        <v>4878482865</v>
      </c>
    </row>
    <row r="501" spans="1:10" x14ac:dyDescent="0.25">
      <c r="A501">
        <v>498</v>
      </c>
      <c r="B501" t="s">
        <v>523</v>
      </c>
      <c r="C501" t="e" vm="500">
        <v>#VALUE!</v>
      </c>
      <c r="D501" t="str" cm="1">
        <f t="array" ref="D501">_FV(Table_0[[#This Row],[Symbol]],"Industry")</f>
        <v>Textiles &amp; Apparel</v>
      </c>
      <c r="E501" s="8">
        <v>1.3597E-2</v>
      </c>
      <c r="F501" s="11">
        <v>102.58</v>
      </c>
      <c r="G501" s="11">
        <v>-0.75</v>
      </c>
      <c r="H501" s="13" t="s">
        <v>620</v>
      </c>
      <c r="I501" s="9" cm="1">
        <f t="array" ref="I501">_FV(Table_0[[#This Row],[Symbol]],"P/E",TRUE)</f>
        <v>14.3005</v>
      </c>
      <c r="J501" s="1" cm="1">
        <f t="array" ref="J501">_FV(Table_0[[#This Row],[Symbol]],"Market cap",TRUE)</f>
        <v>6767458024</v>
      </c>
    </row>
    <row r="502" spans="1:10" x14ac:dyDescent="0.25">
      <c r="A502">
        <v>499</v>
      </c>
      <c r="B502" t="s">
        <v>524</v>
      </c>
      <c r="C502" t="e" vm="501">
        <v>#VALUE!</v>
      </c>
      <c r="D502" t="str" cm="1">
        <f t="array" ref="D502">_FV(Table_0[[#This Row],[Symbol]],"Industry")</f>
        <v>Media &amp; Publishing</v>
      </c>
      <c r="E502" s="8">
        <v>1.2774000000000001E-2</v>
      </c>
      <c r="F502" s="11">
        <v>28.22</v>
      </c>
      <c r="G502" s="11">
        <v>-0.17</v>
      </c>
      <c r="H502" s="13" t="s">
        <v>32</v>
      </c>
      <c r="I502" s="9" cm="1">
        <f t="array" ref="I502">_FV(Table_0[[#This Row],[Symbol]],"P/E",TRUE)</f>
        <v>15.103999999999999</v>
      </c>
      <c r="J502" s="1" cm="1">
        <f t="array" ref="J502">_FV(Table_0[[#This Row],[Symbol]],"Market cap",TRUE)</f>
        <v>15993870000</v>
      </c>
    </row>
    <row r="503" spans="1:10" x14ac:dyDescent="0.25">
      <c r="A503">
        <v>500</v>
      </c>
      <c r="B503" t="s">
        <v>525</v>
      </c>
      <c r="C503" t="e" vm="502">
        <v>#VALUE!</v>
      </c>
      <c r="D503" t="str" cm="1">
        <f t="array" ref="D503">_FV(Table_0[[#This Row],[Symbol]],"Industry")</f>
        <v>Healthcare Providers &amp; Services</v>
      </c>
      <c r="E503" s="8">
        <v>1.2508999999999999E-2</v>
      </c>
      <c r="F503" s="11">
        <v>72.540000000000006</v>
      </c>
      <c r="G503" s="11">
        <v>-0.65</v>
      </c>
      <c r="H503" s="13" t="s">
        <v>829</v>
      </c>
      <c r="I503" s="9" cm="1">
        <f t="array" ref="I503">_FV(Table_0[[#This Row],[Symbol]],"P/E",TRUE)</f>
        <v>10.7141</v>
      </c>
      <c r="J503" s="1" cm="1">
        <f t="array" ref="J503">_FV(Table_0[[#This Row],[Symbol]],"Market cap",TRUE)</f>
        <v>6535854000</v>
      </c>
    </row>
    <row r="504" spans="1:10" x14ac:dyDescent="0.25">
      <c r="A504">
        <v>501</v>
      </c>
      <c r="B504" t="s">
        <v>527</v>
      </c>
      <c r="C504" t="e" vm="503">
        <v>#VALUE!</v>
      </c>
      <c r="D504" t="str" cm="1">
        <f t="array" ref="D504">_FV(Table_0[[#This Row],[Symbol]],"Industry")</f>
        <v>Media &amp; Publishing</v>
      </c>
      <c r="E504" s="8">
        <v>1.0553E-2</v>
      </c>
      <c r="F504" s="11">
        <v>13.65</v>
      </c>
      <c r="G504" s="11">
        <v>-0.28000000000000003</v>
      </c>
      <c r="H504" s="13" t="s">
        <v>658</v>
      </c>
      <c r="I504" s="9" cm="1">
        <f t="array" ref="I504">_FV(Table_0[[#This Row],[Symbol]],"P/E",TRUE)</f>
        <v>4.6215999999999999</v>
      </c>
      <c r="J504" s="1" cm="1">
        <f t="array" ref="J504">_FV(Table_0[[#This Row],[Symbol]],"Market cap",TRUE)</f>
        <v>7241486099</v>
      </c>
    </row>
    <row r="505" spans="1:10" x14ac:dyDescent="0.25">
      <c r="A505">
        <v>502</v>
      </c>
      <c r="B505" t="s">
        <v>526</v>
      </c>
      <c r="C505" t="e" vm="504">
        <v>#VALUE!</v>
      </c>
      <c r="D505" t="str" cm="1">
        <f t="array" ref="D505">_FV(Table_0[[#This Row],[Symbol]],"Industry")</f>
        <v>Residential &amp; Commercial REIT</v>
      </c>
      <c r="E505" s="8">
        <v>1.0137E-2</v>
      </c>
      <c r="F505" s="11">
        <v>20.74</v>
      </c>
      <c r="G505" s="11">
        <v>-0.34</v>
      </c>
      <c r="H505" s="13" t="s">
        <v>617</v>
      </c>
      <c r="I505" s="9" cm="1">
        <f t="array" ref="I505">_FV(Table_0[[#This Row],[Symbol]],"P/E",TRUE)</f>
        <v>42.153300000000002</v>
      </c>
      <c r="J505" s="1" cm="1">
        <f t="array" ref="J505">_FV(Table_0[[#This Row],[Symbol]],"Market cap",TRUE)</f>
        <v>3977032023</v>
      </c>
    </row>
    <row r="506" spans="1:10" x14ac:dyDescent="0.25">
      <c r="A506">
        <v>503</v>
      </c>
      <c r="B506" t="s">
        <v>528</v>
      </c>
      <c r="C506" t="e" vm="505">
        <v>#VALUE!</v>
      </c>
      <c r="D506" t="str" cm="1">
        <f t="array" ref="D506">_FV(Table_0[[#This Row],[Symbol]],"Industry")</f>
        <v>Media &amp; Publishing</v>
      </c>
      <c r="E506" s="8">
        <v>6.7419999999999997E-3</v>
      </c>
      <c r="F506" s="11">
        <v>17.79</v>
      </c>
      <c r="G506" s="11">
        <v>-0.18</v>
      </c>
      <c r="H506" s="13" t="s">
        <v>699</v>
      </c>
      <c r="I506" s="9" cm="1">
        <f t="array" ref="I506">_FV(Table_0[[#This Row],[Symbol]],"P/E",TRUE)</f>
        <v>21.683800000000002</v>
      </c>
      <c r="J506" s="1" cm="1">
        <f t="array" ref="J506">_FV(Table_0[[#This Row],[Symbol]],"Market cap",TRUE)</f>
        <v>10252270000</v>
      </c>
    </row>
    <row r="508" spans="1:10" x14ac:dyDescent="0.25">
      <c r="E508" s="2"/>
    </row>
    <row r="509" spans="1:10" x14ac:dyDescent="0.25">
      <c r="H509" s="12"/>
    </row>
  </sheetData>
  <mergeCells count="1">
    <mergeCell ref="A1:J1"/>
  </mergeCells>
  <phoneticPr fontId="8" type="noConversion"/>
  <conditionalFormatting sqref="H4:H506">
    <cfRule type="cellIs" dxfId="8" priority="1" operator="lessThan">
      <formula>0</formula>
    </cfRule>
    <cfRule type="cellIs" dxfId="7" priority="2" operator="lessThan">
      <formula>0</formula>
    </cfRule>
  </conditionalFormatting>
  <conditionalFormatting sqref="H3:H506">
    <cfRule type="colorScale" priority="11">
      <colorScale>
        <cfvo type="min"/>
        <cfvo type="percentile" val="50"/>
        <cfvo type="max"/>
        <color rgb="FFF8696B"/>
        <color rgb="FFFFEB84"/>
        <color rgb="FF63BE7B"/>
      </colorScale>
    </cfRule>
    <cfRule type="colorScale" priority="12">
      <colorScale>
        <cfvo type="num" val="-10"/>
        <cfvo type="num" val="5"/>
        <color rgb="FFFF7128"/>
        <color rgb="FFFFEF9C"/>
      </colorScale>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049" r:id="rId4" name="CommandButton1">
          <controlPr defaultSize="0" autoFill="0" autoLine="0" autoPict="0" altText="Refresh Table to keep current market data" r:id="rId5">
            <anchor moveWithCells="1">
              <from>
                <xdr:col>10</xdr:col>
                <xdr:colOff>28575</xdr:colOff>
                <xdr:row>3</xdr:row>
                <xdr:rowOff>19050</xdr:rowOff>
              </from>
              <to>
                <xdr:col>13</xdr:col>
                <xdr:colOff>581025</xdr:colOff>
                <xdr:row>4</xdr:row>
                <xdr:rowOff>142875</xdr:rowOff>
              </to>
            </anchor>
          </controlPr>
        </control>
      </mc:Choice>
      <mc:Fallback>
        <control shapeId="2049" r:id="rId4" name="CommandButton1"/>
      </mc:Fallback>
    </mc:AlternateContent>
  </controls>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A5F38-785E-4A22-BE20-654E05128B62}">
  <sheetPr codeName="Sheet2"/>
  <dimension ref="A1:I52"/>
  <sheetViews>
    <sheetView zoomScale="85" zoomScaleNormal="85" workbookViewId="0">
      <selection activeCell="H12" sqref="H12"/>
    </sheetView>
  </sheetViews>
  <sheetFormatPr defaultRowHeight="15" x14ac:dyDescent="0.25"/>
  <cols>
    <col min="1" max="1" width="45.140625" bestFit="1" customWidth="1"/>
    <col min="2" max="2" width="12.85546875" bestFit="1" customWidth="1"/>
    <col min="3" max="3" width="12" bestFit="1" customWidth="1"/>
    <col min="4" max="4" width="46.85546875" customWidth="1"/>
    <col min="5" max="5" width="34.42578125" customWidth="1"/>
    <col min="6" max="6" width="26.140625" customWidth="1"/>
    <col min="7" max="7" width="17.7109375" bestFit="1" customWidth="1"/>
    <col min="8" max="8" width="18.28515625" customWidth="1"/>
    <col min="9" max="9" width="10.7109375" customWidth="1"/>
    <col min="10" max="10" width="43.42578125" bestFit="1" customWidth="1"/>
    <col min="11" max="11" width="10.85546875" bestFit="1" customWidth="1"/>
    <col min="12" max="12" width="14.42578125" bestFit="1" customWidth="1"/>
    <col min="13" max="13" width="7.5703125" bestFit="1" customWidth="1"/>
    <col min="14" max="14" width="11.28515625" bestFit="1" customWidth="1"/>
    <col min="15" max="17" width="5.7109375" bestFit="1" customWidth="1"/>
    <col min="18" max="18" width="4.7109375" bestFit="1" customWidth="1"/>
    <col min="19" max="24" width="5.7109375" bestFit="1" customWidth="1"/>
    <col min="25" max="25" width="4.7109375" bestFit="1" customWidth="1"/>
    <col min="26" max="30" width="5.7109375" bestFit="1" customWidth="1"/>
    <col min="31" max="31" width="4.7109375" bestFit="1" customWidth="1"/>
    <col min="32" max="41" width="5.7109375" bestFit="1" customWidth="1"/>
    <col min="42" max="42" width="4.7109375" bestFit="1" customWidth="1"/>
    <col min="43" max="46" width="5.7109375" bestFit="1" customWidth="1"/>
    <col min="47" max="47" width="4.7109375" bestFit="1" customWidth="1"/>
    <col min="48" max="52" width="5.7109375" bestFit="1" customWidth="1"/>
    <col min="53" max="53" width="4.7109375" bestFit="1" customWidth="1"/>
    <col min="54" max="64" width="5.7109375" bestFit="1" customWidth="1"/>
    <col min="65" max="65" width="4.7109375" bestFit="1" customWidth="1"/>
    <col min="66" max="66" width="5.7109375" bestFit="1" customWidth="1"/>
    <col min="67" max="67" width="4.7109375" bestFit="1" customWidth="1"/>
    <col min="68" max="80" width="5.7109375" bestFit="1" customWidth="1"/>
    <col min="81" max="81" width="4.7109375" bestFit="1" customWidth="1"/>
    <col min="82" max="85" width="5.7109375" bestFit="1" customWidth="1"/>
    <col min="86" max="86" width="4.7109375" bestFit="1" customWidth="1"/>
    <col min="87" max="94" width="5.7109375" bestFit="1" customWidth="1"/>
    <col min="95" max="95" width="2.7109375" bestFit="1" customWidth="1"/>
    <col min="96" max="105" width="5.7109375" bestFit="1" customWidth="1"/>
    <col min="106" max="106" width="4.7109375" bestFit="1" customWidth="1"/>
    <col min="107" max="116" width="5.7109375" bestFit="1" customWidth="1"/>
    <col min="117" max="117" width="4.7109375" bestFit="1" customWidth="1"/>
    <col min="118" max="129" width="5.7109375" bestFit="1" customWidth="1"/>
    <col min="130" max="130" width="4.7109375" bestFit="1" customWidth="1"/>
    <col min="131" max="138" width="5.7109375" bestFit="1" customWidth="1"/>
    <col min="139" max="139" width="4.7109375" bestFit="1" customWidth="1"/>
    <col min="140" max="146" width="5.7109375" bestFit="1" customWidth="1"/>
    <col min="147" max="147" width="4.7109375" bestFit="1" customWidth="1"/>
    <col min="148" max="155" width="5.7109375" bestFit="1" customWidth="1"/>
    <col min="156" max="156" width="4.7109375" bestFit="1" customWidth="1"/>
    <col min="157" max="162" width="5.7109375" bestFit="1" customWidth="1"/>
    <col min="163" max="176" width="5" bestFit="1" customWidth="1"/>
    <col min="177" max="177" width="4" bestFit="1" customWidth="1"/>
    <col min="178" max="185" width="5" bestFit="1" customWidth="1"/>
    <col min="186" max="186" width="4" bestFit="1" customWidth="1"/>
    <col min="187" max="201" width="5" bestFit="1" customWidth="1"/>
    <col min="202" max="202" width="4" bestFit="1" customWidth="1"/>
    <col min="203" max="218" width="5" bestFit="1" customWidth="1"/>
    <col min="219" max="219" width="4" bestFit="1" customWidth="1"/>
    <col min="220" max="225" width="5" bestFit="1" customWidth="1"/>
    <col min="226" max="226" width="4" bestFit="1" customWidth="1"/>
    <col min="227" max="239" width="5" bestFit="1" customWidth="1"/>
    <col min="240" max="240" width="2" bestFit="1" customWidth="1"/>
    <col min="241" max="250" width="5" bestFit="1" customWidth="1"/>
    <col min="251" max="251" width="4" bestFit="1" customWidth="1"/>
    <col min="252" max="263" width="5" bestFit="1" customWidth="1"/>
    <col min="264" max="264" width="4" bestFit="1" customWidth="1"/>
    <col min="265" max="267" width="5" bestFit="1" customWidth="1"/>
    <col min="268" max="268" width="4" bestFit="1" customWidth="1"/>
    <col min="269" max="273" width="5" bestFit="1" customWidth="1"/>
    <col min="274" max="274" width="4" bestFit="1" customWidth="1"/>
    <col min="275" max="280" width="5" bestFit="1" customWidth="1"/>
    <col min="281" max="281" width="4" bestFit="1" customWidth="1"/>
    <col min="282" max="288" width="5" bestFit="1" customWidth="1"/>
    <col min="289" max="289" width="4" bestFit="1" customWidth="1"/>
    <col min="290" max="300" width="5" bestFit="1" customWidth="1"/>
    <col min="301" max="301" width="4" bestFit="1" customWidth="1"/>
    <col min="302" max="308" width="5" bestFit="1" customWidth="1"/>
    <col min="309" max="309" width="4" bestFit="1" customWidth="1"/>
    <col min="310" max="313" width="5" bestFit="1" customWidth="1"/>
    <col min="314" max="316" width="6" bestFit="1" customWidth="1"/>
    <col min="317" max="317" width="11.28515625" bestFit="1" customWidth="1"/>
    <col min="318" max="326" width="9" bestFit="1" customWidth="1"/>
    <col min="327" max="327" width="8" bestFit="1" customWidth="1"/>
    <col min="328" max="358" width="9" bestFit="1" customWidth="1"/>
    <col min="359" max="359" width="8" bestFit="1" customWidth="1"/>
    <col min="360" max="385" width="9" bestFit="1" customWidth="1"/>
    <col min="386" max="386" width="8" bestFit="1" customWidth="1"/>
    <col min="387" max="387" width="9" bestFit="1" customWidth="1"/>
    <col min="388" max="388" width="8" bestFit="1" customWidth="1"/>
    <col min="389" max="391" width="9" bestFit="1" customWidth="1"/>
    <col min="392" max="392" width="8" bestFit="1" customWidth="1"/>
    <col min="393" max="404" width="9" bestFit="1" customWidth="1"/>
    <col min="405" max="405" width="8" bestFit="1" customWidth="1"/>
    <col min="406" max="412" width="9" bestFit="1" customWidth="1"/>
    <col min="413" max="413" width="8" bestFit="1" customWidth="1"/>
    <col min="414" max="426" width="9" bestFit="1" customWidth="1"/>
    <col min="427" max="427" width="8" bestFit="1" customWidth="1"/>
    <col min="428" max="434" width="9" bestFit="1" customWidth="1"/>
    <col min="435" max="435" width="8" bestFit="1" customWidth="1"/>
    <col min="436" max="442" width="9" bestFit="1" customWidth="1"/>
    <col min="443" max="443" width="8" bestFit="1" customWidth="1"/>
    <col min="444" max="453" width="9" bestFit="1" customWidth="1"/>
    <col min="454" max="454" width="8" bestFit="1" customWidth="1"/>
    <col min="455" max="455" width="9" bestFit="1" customWidth="1"/>
    <col min="456" max="456" width="8" bestFit="1" customWidth="1"/>
    <col min="457" max="458" width="9" bestFit="1" customWidth="1"/>
    <col min="459" max="459" width="8" bestFit="1" customWidth="1"/>
    <col min="460" max="461" width="9" bestFit="1" customWidth="1"/>
    <col min="462" max="462" width="8" bestFit="1" customWidth="1"/>
    <col min="463" max="465" width="9" bestFit="1" customWidth="1"/>
    <col min="466" max="466" width="8" bestFit="1" customWidth="1"/>
    <col min="467" max="471" width="9" bestFit="1" customWidth="1"/>
    <col min="472" max="472" width="8" bestFit="1" customWidth="1"/>
    <col min="473" max="493" width="9" bestFit="1" customWidth="1"/>
    <col min="494" max="494" width="8" bestFit="1" customWidth="1"/>
    <col min="495" max="502" width="9" bestFit="1" customWidth="1"/>
    <col min="503" max="504" width="11.28515625" bestFit="1" customWidth="1"/>
  </cols>
  <sheetData>
    <row r="1" spans="1:9" x14ac:dyDescent="0.25">
      <c r="A1" s="28" t="s">
        <v>654</v>
      </c>
      <c r="B1" s="28"/>
    </row>
    <row r="2" spans="1:9" x14ac:dyDescent="0.25">
      <c r="A2" s="7" t="s">
        <v>584</v>
      </c>
      <c r="B2" s="5" t="s">
        <v>585</v>
      </c>
    </row>
    <row r="3" spans="1:9" x14ac:dyDescent="0.25">
      <c r="A3" s="4" t="s">
        <v>578</v>
      </c>
      <c r="B3">
        <v>16.944908000000002</v>
      </c>
    </row>
    <row r="4" spans="1:9" x14ac:dyDescent="0.25">
      <c r="A4" s="4" t="s">
        <v>572</v>
      </c>
      <c r="B4">
        <v>6.9560129999999987</v>
      </c>
    </row>
    <row r="5" spans="1:9" x14ac:dyDescent="0.25">
      <c r="A5" s="4" t="s">
        <v>542</v>
      </c>
      <c r="B5">
        <v>6.4330710000000009</v>
      </c>
    </row>
    <row r="6" spans="1:9" x14ac:dyDescent="0.25">
      <c r="A6" s="4" t="s">
        <v>577</v>
      </c>
      <c r="B6">
        <v>4.7712300000000001</v>
      </c>
    </row>
    <row r="7" spans="1:9" x14ac:dyDescent="0.25">
      <c r="A7" s="4" t="s">
        <v>554</v>
      </c>
      <c r="B7">
        <v>4.5516099999999984</v>
      </c>
    </row>
    <row r="8" spans="1:9" x14ac:dyDescent="0.25">
      <c r="A8" s="4" t="s">
        <v>568</v>
      </c>
      <c r="B8">
        <v>4.2333729999999994</v>
      </c>
    </row>
    <row r="9" spans="1:9" x14ac:dyDescent="0.25">
      <c r="A9" s="4" t="s">
        <v>537</v>
      </c>
      <c r="B9">
        <v>3.981239</v>
      </c>
    </row>
    <row r="10" spans="1:9" x14ac:dyDescent="0.25">
      <c r="A10" s="4" t="s">
        <v>547</v>
      </c>
      <c r="B10">
        <v>3.7997359999999998</v>
      </c>
    </row>
    <row r="11" spans="1:9" x14ac:dyDescent="0.25">
      <c r="A11" s="4" t="s">
        <v>555</v>
      </c>
      <c r="B11">
        <v>3.3396399999999997</v>
      </c>
    </row>
    <row r="12" spans="1:9" x14ac:dyDescent="0.25">
      <c r="A12" s="4" t="s">
        <v>562</v>
      </c>
      <c r="B12">
        <v>2.9059809999999997</v>
      </c>
    </row>
    <row r="13" spans="1:9" x14ac:dyDescent="0.25">
      <c r="A13" s="4" t="s">
        <v>545</v>
      </c>
      <c r="B13">
        <v>2.7990759999999999</v>
      </c>
    </row>
    <row r="14" spans="1:9" x14ac:dyDescent="0.25">
      <c r="A14" s="4" t="s">
        <v>560</v>
      </c>
      <c r="B14">
        <v>2.7852699999999997</v>
      </c>
    </row>
    <row r="15" spans="1:9" x14ac:dyDescent="0.25">
      <c r="A15" s="4" t="s">
        <v>576</v>
      </c>
      <c r="B15">
        <v>2.624892</v>
      </c>
      <c r="F15" s="24" t="s">
        <v>645</v>
      </c>
      <c r="G15" s="24"/>
      <c r="H15" s="24"/>
      <c r="I15" s="25"/>
    </row>
    <row r="16" spans="1:9" x14ac:dyDescent="0.25">
      <c r="A16" s="4" t="s">
        <v>548</v>
      </c>
      <c r="B16">
        <v>2.463743</v>
      </c>
    </row>
    <row r="17" spans="1:8" ht="18.75" x14ac:dyDescent="0.3">
      <c r="A17" s="4" t="s">
        <v>559</v>
      </c>
      <c r="B17">
        <v>2.3534780000000004</v>
      </c>
      <c r="D17" s="18" t="s">
        <v>594</v>
      </c>
      <c r="E17" s="18"/>
      <c r="F17" s="17"/>
      <c r="G17" s="16"/>
      <c r="H17" s="16"/>
    </row>
    <row r="18" spans="1:8" x14ac:dyDescent="0.25">
      <c r="A18" s="4" t="s">
        <v>579</v>
      </c>
      <c r="B18">
        <v>2.2251339999999997</v>
      </c>
      <c r="D18" s="4" t="s">
        <v>578</v>
      </c>
      <c r="E18" s="20">
        <f>GETPIVOTDATA("Weight",$A$2,"Industry","Software &amp; IT Services")</f>
        <v>16.944908000000002</v>
      </c>
    </row>
    <row r="19" spans="1:8" x14ac:dyDescent="0.25">
      <c r="A19" s="4" t="s">
        <v>552</v>
      </c>
      <c r="B19">
        <v>2.1710790000000002</v>
      </c>
      <c r="D19" s="19" t="s">
        <v>542</v>
      </c>
      <c r="E19" s="21">
        <f>GETPIVOTDATA("Weight",$A$2,"Industry","Computers, Phones &amp; Household Electronics")</f>
        <v>6.4330710000000009</v>
      </c>
    </row>
    <row r="20" spans="1:8" x14ac:dyDescent="0.25">
      <c r="A20" s="4" t="s">
        <v>557</v>
      </c>
      <c r="B20">
        <v>2.0196489999999998</v>
      </c>
      <c r="D20" s="4" t="s">
        <v>572</v>
      </c>
      <c r="E20" s="20">
        <f>GETPIVOTDATA("Weight",$A$2,"Industry","Pharmaceuticals")</f>
        <v>6.9560129999999987</v>
      </c>
    </row>
    <row r="21" spans="1:8" x14ac:dyDescent="0.25">
      <c r="A21" s="4" t="s">
        <v>538</v>
      </c>
      <c r="B21">
        <v>1.9475650000000002</v>
      </c>
      <c r="D21" s="19" t="s">
        <v>577</v>
      </c>
      <c r="E21" s="21">
        <f>GETPIVOTDATA("Weight",$A$2,"Industry","Semiconductors &amp; Semiconductor Equipment")</f>
        <v>4.7712300000000001</v>
      </c>
    </row>
    <row r="22" spans="1:8" ht="15.75" thickBot="1" x14ac:dyDescent="0.3">
      <c r="A22" s="4" t="s">
        <v>536</v>
      </c>
      <c r="B22">
        <v>1.893791</v>
      </c>
      <c r="D22" s="6" t="s">
        <v>568</v>
      </c>
      <c r="E22" s="22">
        <f>GETPIVOTDATA("Weight",$A$2,"Industry","Oil &amp; Gas")</f>
        <v>4.2333729999999994</v>
      </c>
    </row>
    <row r="23" spans="1:8" ht="15.75" thickTop="1" x14ac:dyDescent="0.25">
      <c r="A23" s="4" t="s">
        <v>535</v>
      </c>
      <c r="B23">
        <v>1.8751760000000002</v>
      </c>
      <c r="D23" s="23" t="s">
        <v>583</v>
      </c>
      <c r="E23" s="20">
        <f>SUM(E18:E22)</f>
        <v>39.338595000000005</v>
      </c>
      <c r="G23" s="15"/>
      <c r="H23" s="15"/>
    </row>
    <row r="24" spans="1:8" x14ac:dyDescent="0.25">
      <c r="A24" s="4" t="s">
        <v>571</v>
      </c>
      <c r="B24">
        <v>1.7463960000000001</v>
      </c>
    </row>
    <row r="25" spans="1:8" ht="18.75" x14ac:dyDescent="0.3">
      <c r="A25" s="4" t="s">
        <v>580</v>
      </c>
      <c r="B25">
        <v>1.7271560000000001</v>
      </c>
      <c r="D25" s="18" t="s">
        <v>595</v>
      </c>
      <c r="E25" s="18"/>
      <c r="G25" s="16"/>
      <c r="H25" s="16"/>
    </row>
    <row r="26" spans="1:8" x14ac:dyDescent="0.25">
      <c r="A26" s="4" t="s">
        <v>573</v>
      </c>
      <c r="B26">
        <v>1.72418</v>
      </c>
      <c r="D26" s="4" t="s">
        <v>567</v>
      </c>
      <c r="E26" s="20">
        <f>GETPIVOTDATA("Weight",$A$2,"Industry","Office Equipment")</f>
        <v>9.8003999999999994E-2</v>
      </c>
    </row>
    <row r="27" spans="1:8" x14ac:dyDescent="0.25">
      <c r="A27" s="4" t="s">
        <v>540</v>
      </c>
      <c r="B27">
        <v>1.6804939999999995</v>
      </c>
      <c r="D27" s="19" t="s">
        <v>582</v>
      </c>
      <c r="E27" s="21">
        <f>GETPIVOTDATA("Weight",$A$2,"Industry","Water Utilities")</f>
        <v>8.6170999999999998E-2</v>
      </c>
    </row>
    <row r="28" spans="1:8" x14ac:dyDescent="0.25">
      <c r="A28" s="4" t="s">
        <v>553</v>
      </c>
      <c r="B28">
        <v>1.534667</v>
      </c>
      <c r="D28" s="4" t="s">
        <v>574</v>
      </c>
      <c r="E28" s="20">
        <f>GETPIVOTDATA("Weight",$A$2,"Industry","Real Estate Operations")</f>
        <v>7.5076000000000004E-2</v>
      </c>
    </row>
    <row r="29" spans="1:8" x14ac:dyDescent="0.25">
      <c r="A29" s="4" t="s">
        <v>541</v>
      </c>
      <c r="B29">
        <v>0.93955800000000012</v>
      </c>
      <c r="D29" s="19" t="s">
        <v>558</v>
      </c>
      <c r="E29" s="21">
        <f>GETPIVOTDATA("Weight",$A$2,"Industry","Household Goods")</f>
        <v>5.3978999999999999E-2</v>
      </c>
    </row>
    <row r="30" spans="1:8" ht="15.75" thickBot="1" x14ac:dyDescent="0.3">
      <c r="A30" s="4" t="s">
        <v>551</v>
      </c>
      <c r="B30">
        <v>0.93311599999999995</v>
      </c>
      <c r="D30" s="6" t="s">
        <v>566</v>
      </c>
      <c r="E30" s="22">
        <f>GETPIVOTDATA("Weight",$A$2,"Industry","Natural Gas Utilities")</f>
        <v>4.9050000000000003E-2</v>
      </c>
    </row>
    <row r="31" spans="1:8" ht="15.75" thickTop="1" x14ac:dyDescent="0.25">
      <c r="A31" s="4" t="s">
        <v>539</v>
      </c>
      <c r="B31">
        <v>0.85992699999999989</v>
      </c>
      <c r="D31" s="23" t="s">
        <v>583</v>
      </c>
      <c r="E31" s="20">
        <f>SUM(E26:E30)</f>
        <v>0.36227999999999999</v>
      </c>
      <c r="G31" s="15"/>
      <c r="H31" s="15"/>
    </row>
    <row r="32" spans="1:8" x14ac:dyDescent="0.25">
      <c r="A32" s="4" t="s">
        <v>569</v>
      </c>
      <c r="B32">
        <v>0.77994100000000011</v>
      </c>
    </row>
    <row r="33" spans="1:2" x14ac:dyDescent="0.25">
      <c r="A33" s="4" t="s">
        <v>563</v>
      </c>
      <c r="B33">
        <v>0.76813299999999995</v>
      </c>
    </row>
    <row r="34" spans="1:2" x14ac:dyDescent="0.25">
      <c r="A34" s="4" t="s">
        <v>565</v>
      </c>
      <c r="B34">
        <v>0.53244600000000009</v>
      </c>
    </row>
    <row r="35" spans="1:2" x14ac:dyDescent="0.25">
      <c r="A35" s="4" t="s">
        <v>550</v>
      </c>
      <c r="B35">
        <v>0.46323400000000003</v>
      </c>
    </row>
    <row r="36" spans="1:2" x14ac:dyDescent="0.25">
      <c r="A36" s="4" t="s">
        <v>581</v>
      </c>
      <c r="B36">
        <v>0.44579299999999999</v>
      </c>
    </row>
    <row r="37" spans="1:2" x14ac:dyDescent="0.25">
      <c r="A37" s="4" t="s">
        <v>564</v>
      </c>
      <c r="B37">
        <v>0.40981399999999996</v>
      </c>
    </row>
    <row r="38" spans="1:2" x14ac:dyDescent="0.25">
      <c r="A38" s="4" t="s">
        <v>631</v>
      </c>
      <c r="B38">
        <v>0.33790900000000001</v>
      </c>
    </row>
    <row r="39" spans="1:2" x14ac:dyDescent="0.25">
      <c r="A39" s="4" t="s">
        <v>549</v>
      </c>
      <c r="B39">
        <v>0.31212300000000004</v>
      </c>
    </row>
    <row r="40" spans="1:2" x14ac:dyDescent="0.25">
      <c r="A40" s="4" t="s">
        <v>556</v>
      </c>
      <c r="B40">
        <v>0.26911599999999997</v>
      </c>
    </row>
    <row r="41" spans="1:2" x14ac:dyDescent="0.25">
      <c r="A41" s="4" t="s">
        <v>546</v>
      </c>
      <c r="B41">
        <v>0.25579099999999999</v>
      </c>
    </row>
    <row r="42" spans="1:2" x14ac:dyDescent="0.25">
      <c r="A42" s="4" t="s">
        <v>575</v>
      </c>
      <c r="B42">
        <v>0.230715</v>
      </c>
    </row>
    <row r="43" spans="1:2" x14ac:dyDescent="0.25">
      <c r="A43" s="4" t="s">
        <v>570</v>
      </c>
      <c r="B43">
        <v>0.21295500000000001</v>
      </c>
    </row>
    <row r="44" spans="1:2" x14ac:dyDescent="0.25">
      <c r="A44" s="4" t="s">
        <v>544</v>
      </c>
      <c r="B44">
        <v>0.13863600000000001</v>
      </c>
    </row>
    <row r="45" spans="1:2" x14ac:dyDescent="0.25">
      <c r="A45" s="4" t="s">
        <v>543</v>
      </c>
      <c r="B45">
        <v>0.11055899999999999</v>
      </c>
    </row>
    <row r="46" spans="1:2" x14ac:dyDescent="0.25">
      <c r="A46" s="4" t="s">
        <v>561</v>
      </c>
      <c r="B46">
        <v>0.10861999999999999</v>
      </c>
    </row>
    <row r="47" spans="1:2" x14ac:dyDescent="0.25">
      <c r="A47" s="4" t="s">
        <v>567</v>
      </c>
      <c r="B47">
        <v>9.8003999999999994E-2</v>
      </c>
    </row>
    <row r="48" spans="1:2" x14ac:dyDescent="0.25">
      <c r="A48" s="4" t="s">
        <v>582</v>
      </c>
      <c r="B48">
        <v>8.6170999999999998E-2</v>
      </c>
    </row>
    <row r="49" spans="1:2" x14ac:dyDescent="0.25">
      <c r="A49" s="4" t="s">
        <v>574</v>
      </c>
      <c r="B49">
        <v>7.5076000000000004E-2</v>
      </c>
    </row>
    <row r="50" spans="1:2" x14ac:dyDescent="0.25">
      <c r="A50" s="4" t="s">
        <v>558</v>
      </c>
      <c r="B50">
        <v>5.3978999999999999E-2</v>
      </c>
    </row>
    <row r="51" spans="1:2" x14ac:dyDescent="0.25">
      <c r="A51" s="4" t="s">
        <v>566</v>
      </c>
      <c r="B51">
        <v>4.9050000000000003E-2</v>
      </c>
    </row>
    <row r="52" spans="1:2" x14ac:dyDescent="0.25">
      <c r="A52" s="4" t="s">
        <v>534</v>
      </c>
      <c r="B52">
        <v>99.959212999999963</v>
      </c>
    </row>
  </sheetData>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CB539-9743-45F4-BCB2-75858A3E19E9}">
  <sheetPr codeName="Sheet3"/>
  <dimension ref="A1:H507"/>
  <sheetViews>
    <sheetView workbookViewId="0">
      <selection activeCell="A10" sqref="A10"/>
    </sheetView>
  </sheetViews>
  <sheetFormatPr defaultRowHeight="15" x14ac:dyDescent="0.25"/>
  <cols>
    <col min="1" max="1" width="47.85546875" bestFit="1" customWidth="1"/>
    <col min="2" max="2" width="16.140625" bestFit="1" customWidth="1"/>
    <col min="3" max="3" width="12" bestFit="1" customWidth="1"/>
    <col min="4" max="4" width="36.5703125" bestFit="1" customWidth="1"/>
    <col min="5" max="5" width="10.28515625" customWidth="1"/>
    <col min="6" max="6" width="26.28515625" customWidth="1"/>
    <col min="7" max="7" width="40.5703125" bestFit="1" customWidth="1"/>
    <col min="8" max="8" width="10.140625" customWidth="1"/>
    <col min="9" max="9" width="7.5703125" bestFit="1" customWidth="1"/>
    <col min="10" max="10" width="8.28515625" bestFit="1" customWidth="1"/>
    <col min="11" max="11" width="7.5703125" bestFit="1" customWidth="1"/>
    <col min="12" max="13" width="8.28515625" bestFit="1" customWidth="1"/>
    <col min="14" max="14" width="7.5703125" bestFit="1" customWidth="1"/>
    <col min="15" max="15" width="8.28515625" bestFit="1" customWidth="1"/>
    <col min="16" max="16" width="7.5703125" bestFit="1" customWidth="1"/>
    <col min="17" max="17" width="8.28515625" bestFit="1" customWidth="1"/>
    <col min="18" max="18" width="7.5703125" bestFit="1" customWidth="1"/>
    <col min="19" max="19" width="8.28515625" bestFit="1" customWidth="1"/>
    <col min="20" max="21" width="7.5703125" bestFit="1" customWidth="1"/>
    <col min="22" max="22" width="8.28515625" bestFit="1" customWidth="1"/>
    <col min="23" max="23" width="7.5703125" bestFit="1" customWidth="1"/>
    <col min="24" max="24" width="8.28515625" bestFit="1" customWidth="1"/>
    <col min="25" max="26" width="7.5703125" bestFit="1" customWidth="1"/>
    <col min="27" max="27" width="8.28515625" bestFit="1" customWidth="1"/>
    <col min="28" max="28" width="7.5703125" bestFit="1" customWidth="1"/>
    <col min="29" max="29" width="8.28515625" bestFit="1" customWidth="1"/>
    <col min="30" max="30" width="7.5703125" bestFit="1" customWidth="1"/>
    <col min="31" max="31" width="8.28515625" bestFit="1" customWidth="1"/>
    <col min="32" max="32" width="7.5703125" bestFit="1" customWidth="1"/>
    <col min="33" max="33" width="8.28515625" bestFit="1" customWidth="1"/>
    <col min="34" max="34" width="7.5703125" bestFit="1" customWidth="1"/>
    <col min="35" max="35" width="8.28515625" bestFit="1" customWidth="1"/>
    <col min="36" max="36" width="7.5703125" bestFit="1" customWidth="1"/>
    <col min="37" max="37" width="8.28515625" bestFit="1" customWidth="1"/>
    <col min="38" max="38" width="7.5703125" bestFit="1" customWidth="1"/>
    <col min="39" max="39" width="8.28515625" bestFit="1" customWidth="1"/>
    <col min="40" max="40" width="7.5703125" bestFit="1" customWidth="1"/>
    <col min="41" max="41" width="8.28515625" bestFit="1" customWidth="1"/>
    <col min="42" max="43" width="7.5703125" bestFit="1" customWidth="1"/>
    <col min="44" max="44" width="8.28515625" bestFit="1" customWidth="1"/>
    <col min="45" max="45" width="7.5703125" bestFit="1" customWidth="1"/>
    <col min="46" max="46" width="8.28515625" bestFit="1" customWidth="1"/>
    <col min="47" max="47" width="7.5703125" bestFit="1" customWidth="1"/>
    <col min="48" max="48" width="8.28515625" bestFit="1" customWidth="1"/>
    <col min="49" max="49" width="7.5703125" bestFit="1" customWidth="1"/>
    <col min="50" max="50" width="8.28515625" bestFit="1" customWidth="1"/>
    <col min="51" max="51" width="7.5703125" bestFit="1" customWidth="1"/>
    <col min="52" max="52" width="8.28515625" bestFit="1" customWidth="1"/>
    <col min="53" max="53" width="7.5703125" bestFit="1" customWidth="1"/>
    <col min="54" max="54" width="8.28515625" bestFit="1" customWidth="1"/>
    <col min="55" max="55" width="7.5703125" bestFit="1" customWidth="1"/>
    <col min="56" max="56" width="8.28515625" bestFit="1" customWidth="1"/>
    <col min="57" max="57" width="7.5703125" bestFit="1" customWidth="1"/>
    <col min="58" max="58" width="8.28515625" bestFit="1" customWidth="1"/>
    <col min="59" max="59" width="7.5703125" bestFit="1" customWidth="1"/>
    <col min="60" max="60" width="8.28515625" bestFit="1" customWidth="1"/>
    <col min="61" max="61" width="7.5703125" bestFit="1" customWidth="1"/>
    <col min="62" max="62" width="8.28515625" bestFit="1" customWidth="1"/>
    <col min="63" max="63" width="7.5703125" bestFit="1" customWidth="1"/>
    <col min="64" max="64" width="8.28515625" bestFit="1" customWidth="1"/>
    <col min="65" max="65" width="7.5703125" bestFit="1" customWidth="1"/>
    <col min="66" max="66" width="8.28515625" bestFit="1" customWidth="1"/>
    <col min="67" max="67" width="7.5703125" bestFit="1" customWidth="1"/>
    <col min="68" max="68" width="8.28515625" bestFit="1" customWidth="1"/>
    <col min="69" max="69" width="7.5703125" bestFit="1" customWidth="1"/>
    <col min="70" max="70" width="8.28515625" bestFit="1" customWidth="1"/>
    <col min="71" max="71" width="7.5703125" bestFit="1" customWidth="1"/>
    <col min="72" max="72" width="8.28515625" bestFit="1" customWidth="1"/>
    <col min="73" max="73" width="7.5703125" bestFit="1" customWidth="1"/>
    <col min="74" max="74" width="8.28515625" bestFit="1" customWidth="1"/>
    <col min="75" max="75" width="7.5703125" bestFit="1" customWidth="1"/>
    <col min="76" max="76" width="8.28515625" bestFit="1" customWidth="1"/>
    <col min="77" max="77" width="7.5703125" bestFit="1" customWidth="1"/>
    <col min="78" max="78" width="8.28515625" bestFit="1" customWidth="1"/>
    <col min="79" max="79" width="7.5703125" bestFit="1" customWidth="1"/>
    <col min="80" max="80" width="8.28515625" bestFit="1" customWidth="1"/>
    <col min="81" max="81" width="7.5703125" bestFit="1" customWidth="1"/>
    <col min="82" max="82" width="8.28515625" bestFit="1" customWidth="1"/>
    <col min="83" max="83" width="7.5703125" bestFit="1" customWidth="1"/>
    <col min="84" max="84" width="8.28515625" bestFit="1" customWidth="1"/>
    <col min="85" max="85" width="7.5703125" bestFit="1" customWidth="1"/>
    <col min="86" max="86" width="8.28515625" bestFit="1" customWidth="1"/>
    <col min="87" max="87" width="7.5703125" bestFit="1" customWidth="1"/>
    <col min="88" max="88" width="8.28515625" bestFit="1" customWidth="1"/>
    <col min="89" max="89" width="7.5703125" bestFit="1" customWidth="1"/>
    <col min="90" max="90" width="8.28515625" bestFit="1" customWidth="1"/>
    <col min="91" max="91" width="7.5703125" bestFit="1" customWidth="1"/>
    <col min="92" max="92" width="8.28515625" bestFit="1" customWidth="1"/>
    <col min="93" max="94" width="7.5703125" bestFit="1" customWidth="1"/>
    <col min="95" max="95" width="8.28515625" bestFit="1" customWidth="1"/>
    <col min="96" max="96" width="7.5703125" bestFit="1" customWidth="1"/>
    <col min="97" max="97" width="8.28515625" bestFit="1" customWidth="1"/>
    <col min="98" max="98" width="7.5703125" bestFit="1" customWidth="1"/>
    <col min="99" max="99" width="8.28515625" bestFit="1" customWidth="1"/>
    <col min="100" max="100" width="7.5703125" bestFit="1" customWidth="1"/>
    <col min="101" max="101" width="8.28515625" bestFit="1" customWidth="1"/>
    <col min="102" max="102" width="7.5703125" bestFit="1" customWidth="1"/>
    <col min="103" max="103" width="8.28515625" bestFit="1" customWidth="1"/>
    <col min="104" max="105" width="7.5703125" bestFit="1" customWidth="1"/>
    <col min="106" max="106" width="8.28515625" bestFit="1" customWidth="1"/>
    <col min="107" max="107" width="7.5703125" bestFit="1" customWidth="1"/>
    <col min="108" max="108" width="8.28515625" bestFit="1" customWidth="1"/>
    <col min="109" max="109" width="7.5703125" bestFit="1" customWidth="1"/>
    <col min="110" max="110" width="8.28515625" bestFit="1" customWidth="1"/>
    <col min="111" max="111" width="7.5703125" bestFit="1" customWidth="1"/>
    <col min="112" max="112" width="8.28515625" bestFit="1" customWidth="1"/>
    <col min="113" max="114" width="7.5703125" bestFit="1" customWidth="1"/>
    <col min="115" max="115" width="8.28515625" bestFit="1" customWidth="1"/>
    <col min="116" max="116" width="7.5703125" bestFit="1" customWidth="1"/>
    <col min="117" max="117" width="8.28515625" bestFit="1" customWidth="1"/>
    <col min="118" max="118" width="7.5703125" bestFit="1" customWidth="1"/>
    <col min="119" max="119" width="8.28515625" bestFit="1" customWidth="1"/>
    <col min="120" max="120" width="7.5703125" bestFit="1" customWidth="1"/>
    <col min="121" max="121" width="8.28515625" bestFit="1" customWidth="1"/>
    <col min="122" max="122" width="7.5703125" bestFit="1" customWidth="1"/>
    <col min="123" max="123" width="8.28515625" bestFit="1" customWidth="1"/>
    <col min="124" max="124" width="7.5703125" bestFit="1" customWidth="1"/>
    <col min="125" max="125" width="8.28515625" bestFit="1" customWidth="1"/>
    <col min="126" max="126" width="7.5703125" bestFit="1" customWidth="1"/>
    <col min="127" max="127" width="8.28515625" bestFit="1" customWidth="1"/>
    <col min="128" max="129" width="7.5703125" bestFit="1" customWidth="1"/>
    <col min="130" max="130" width="8.28515625" bestFit="1" customWidth="1"/>
    <col min="131" max="132" width="7.5703125" bestFit="1" customWidth="1"/>
    <col min="133" max="133" width="8.28515625" bestFit="1" customWidth="1"/>
    <col min="134" max="134" width="7.5703125" bestFit="1" customWidth="1"/>
    <col min="135" max="135" width="8.28515625" bestFit="1" customWidth="1"/>
    <col min="136" max="136" width="7.5703125" bestFit="1" customWidth="1"/>
    <col min="137" max="138" width="8.28515625" bestFit="1" customWidth="1"/>
    <col min="139" max="139" width="7.5703125" bestFit="1" customWidth="1"/>
    <col min="140" max="140" width="8.28515625" bestFit="1" customWidth="1"/>
    <col min="141" max="141" width="7.5703125" bestFit="1" customWidth="1"/>
    <col min="142" max="142" width="8.28515625" bestFit="1" customWidth="1"/>
    <col min="143" max="143" width="7.5703125" bestFit="1" customWidth="1"/>
    <col min="144" max="144" width="8.28515625" bestFit="1" customWidth="1"/>
    <col min="145" max="145" width="7.5703125" bestFit="1" customWidth="1"/>
    <col min="146" max="146" width="8.28515625" bestFit="1" customWidth="1"/>
    <col min="147" max="147" width="7.5703125" bestFit="1" customWidth="1"/>
    <col min="148" max="148" width="8.28515625" bestFit="1" customWidth="1"/>
    <col min="149" max="149" width="7.5703125" bestFit="1" customWidth="1"/>
    <col min="150" max="150" width="8.28515625" bestFit="1" customWidth="1"/>
    <col min="151" max="152" width="7.5703125" bestFit="1" customWidth="1"/>
    <col min="153" max="153" width="8.28515625" bestFit="1" customWidth="1"/>
    <col min="154" max="154" width="7.5703125" bestFit="1" customWidth="1"/>
    <col min="155" max="155" width="8.28515625" bestFit="1" customWidth="1"/>
    <col min="156" max="156" width="7.5703125" bestFit="1" customWidth="1"/>
    <col min="157" max="157" width="8.28515625" bestFit="1" customWidth="1"/>
    <col min="158" max="160" width="7.5703125" bestFit="1" customWidth="1"/>
    <col min="161" max="161" width="8.28515625" bestFit="1" customWidth="1"/>
    <col min="162" max="162" width="7.5703125" bestFit="1" customWidth="1"/>
    <col min="163" max="164" width="8.28515625" bestFit="1" customWidth="1"/>
    <col min="165" max="166" width="7.5703125" bestFit="1" customWidth="1"/>
    <col min="167" max="167" width="8.28515625" bestFit="1" customWidth="1"/>
    <col min="168" max="168" width="7.5703125" bestFit="1" customWidth="1"/>
    <col min="169" max="169" width="8.28515625" bestFit="1" customWidth="1"/>
    <col min="170" max="170" width="7.5703125" bestFit="1" customWidth="1"/>
    <col min="171" max="171" width="8.28515625" bestFit="1" customWidth="1"/>
    <col min="172" max="173" width="7.5703125" bestFit="1" customWidth="1"/>
    <col min="174" max="174" width="8.28515625" bestFit="1" customWidth="1"/>
    <col min="175" max="175" width="7.5703125" bestFit="1" customWidth="1"/>
    <col min="176" max="176" width="8.28515625" bestFit="1" customWidth="1"/>
    <col min="177" max="177" width="7.5703125" bestFit="1" customWidth="1"/>
    <col min="178" max="178" width="8.28515625" bestFit="1" customWidth="1"/>
    <col min="179" max="179" width="7.5703125" bestFit="1" customWidth="1"/>
    <col min="180" max="180" width="8.28515625" bestFit="1" customWidth="1"/>
    <col min="181" max="182" width="7.5703125" bestFit="1" customWidth="1"/>
    <col min="183" max="184" width="8.28515625" bestFit="1" customWidth="1"/>
    <col min="185" max="186" width="7.5703125" bestFit="1" customWidth="1"/>
    <col min="187" max="188" width="8.28515625" bestFit="1" customWidth="1"/>
    <col min="189" max="190" width="7.5703125" bestFit="1" customWidth="1"/>
    <col min="191" max="191" width="8.28515625" bestFit="1" customWidth="1"/>
    <col min="192" max="192" width="7.5703125" bestFit="1" customWidth="1"/>
    <col min="193" max="193" width="8.28515625" bestFit="1" customWidth="1"/>
    <col min="194" max="200" width="7.5703125" bestFit="1" customWidth="1"/>
    <col min="201" max="201" width="8.28515625" bestFit="1" customWidth="1"/>
    <col min="202" max="202" width="7.5703125" bestFit="1" customWidth="1"/>
    <col min="203" max="204" width="8.28515625" bestFit="1" customWidth="1"/>
    <col min="205" max="205" width="7.5703125" bestFit="1" customWidth="1"/>
    <col min="206" max="206" width="8.28515625" bestFit="1" customWidth="1"/>
    <col min="207" max="207" width="7.5703125" bestFit="1" customWidth="1"/>
    <col min="208" max="209" width="8.28515625" bestFit="1" customWidth="1"/>
    <col min="210" max="212" width="7.5703125" bestFit="1" customWidth="1"/>
    <col min="213" max="214" width="8.28515625" bestFit="1" customWidth="1"/>
    <col min="215" max="215" width="7.5703125" bestFit="1" customWidth="1"/>
    <col min="216" max="216" width="8.28515625" bestFit="1" customWidth="1"/>
    <col min="217" max="220" width="7.5703125" bestFit="1" customWidth="1"/>
    <col min="221" max="221" width="8.28515625" bestFit="1" customWidth="1"/>
    <col min="222" max="226" width="7.5703125" bestFit="1" customWidth="1"/>
    <col min="227" max="227" width="8.28515625" bestFit="1" customWidth="1"/>
    <col min="228" max="230" width="7.5703125" bestFit="1" customWidth="1"/>
    <col min="231" max="231" width="8.28515625" bestFit="1" customWidth="1"/>
    <col min="232" max="232" width="7.5703125" bestFit="1" customWidth="1"/>
    <col min="233" max="237" width="8.28515625" bestFit="1" customWidth="1"/>
    <col min="238" max="245" width="7.5703125" bestFit="1" customWidth="1"/>
    <col min="246" max="247" width="8.28515625" bestFit="1" customWidth="1"/>
    <col min="248" max="250" width="7.5703125" bestFit="1" customWidth="1"/>
    <col min="251" max="251" width="8.28515625" bestFit="1" customWidth="1"/>
    <col min="252" max="252" width="7.5703125" bestFit="1" customWidth="1"/>
    <col min="253" max="253" width="8.28515625" bestFit="1" customWidth="1"/>
    <col min="254" max="258" width="7.5703125" bestFit="1" customWidth="1"/>
    <col min="259" max="259" width="8.28515625" bestFit="1" customWidth="1"/>
    <col min="260" max="262" width="7.5703125" bestFit="1" customWidth="1"/>
    <col min="263" max="264" width="8.28515625" bestFit="1" customWidth="1"/>
    <col min="265" max="265" width="7.5703125" bestFit="1" customWidth="1"/>
    <col min="266" max="266" width="8.28515625" bestFit="1" customWidth="1"/>
    <col min="267" max="267" width="7.5703125" bestFit="1" customWidth="1"/>
    <col min="268" max="268" width="8.28515625" bestFit="1" customWidth="1"/>
    <col min="269" max="269" width="12" bestFit="1" customWidth="1"/>
    <col min="270" max="271" width="9" bestFit="1" customWidth="1"/>
    <col min="272" max="272" width="10.5703125" bestFit="1" customWidth="1"/>
    <col min="273" max="275" width="9" bestFit="1" customWidth="1"/>
    <col min="276" max="276" width="8" bestFit="1" customWidth="1"/>
    <col min="277" max="281" width="9" bestFit="1" customWidth="1"/>
    <col min="282" max="282" width="8.28515625" bestFit="1" customWidth="1"/>
    <col min="283" max="284" width="9" bestFit="1" customWidth="1"/>
    <col min="285" max="285" width="8" bestFit="1" customWidth="1"/>
    <col min="286" max="288" width="9" bestFit="1" customWidth="1"/>
    <col min="289" max="289" width="8.28515625" bestFit="1" customWidth="1"/>
    <col min="290" max="292" width="9" bestFit="1" customWidth="1"/>
    <col min="293" max="293" width="10.5703125" bestFit="1" customWidth="1"/>
    <col min="294" max="304" width="9" bestFit="1" customWidth="1"/>
    <col min="305" max="305" width="8" bestFit="1" customWidth="1"/>
    <col min="306" max="313" width="9" bestFit="1" customWidth="1"/>
    <col min="314" max="314" width="10.5703125" bestFit="1" customWidth="1"/>
    <col min="315" max="324" width="9" bestFit="1" customWidth="1"/>
    <col min="325" max="325" width="8.28515625" bestFit="1" customWidth="1"/>
    <col min="326" max="328" width="9" bestFit="1" customWidth="1"/>
    <col min="329" max="329" width="8.28515625" bestFit="1" customWidth="1"/>
    <col min="330" max="337" width="9" bestFit="1" customWidth="1"/>
    <col min="338" max="338" width="8" bestFit="1" customWidth="1"/>
    <col min="339" max="344" width="9" bestFit="1" customWidth="1"/>
    <col min="345" max="345" width="8.28515625" bestFit="1" customWidth="1"/>
    <col min="346" max="351" width="9" bestFit="1" customWidth="1"/>
    <col min="352" max="352" width="10.5703125" bestFit="1" customWidth="1"/>
    <col min="353" max="354" width="9" bestFit="1" customWidth="1"/>
    <col min="355" max="355" width="8.28515625" bestFit="1" customWidth="1"/>
    <col min="356" max="356" width="8" bestFit="1" customWidth="1"/>
    <col min="357" max="357" width="10.5703125" bestFit="1" customWidth="1"/>
    <col min="358" max="362" width="9" bestFit="1" customWidth="1"/>
    <col min="363" max="363" width="8" bestFit="1" customWidth="1"/>
    <col min="364" max="364" width="9" bestFit="1" customWidth="1"/>
    <col min="365" max="365" width="10.5703125" bestFit="1" customWidth="1"/>
    <col min="366" max="370" width="9" bestFit="1" customWidth="1"/>
    <col min="371" max="372" width="8" bestFit="1" customWidth="1"/>
    <col min="373" max="378" width="9" bestFit="1" customWidth="1"/>
    <col min="379" max="379" width="8.28515625" bestFit="1" customWidth="1"/>
    <col min="380" max="381" width="9" bestFit="1" customWidth="1"/>
    <col min="382" max="382" width="8.28515625" bestFit="1" customWidth="1"/>
    <col min="383" max="386" width="9" bestFit="1" customWidth="1"/>
    <col min="387" max="387" width="8" bestFit="1" customWidth="1"/>
    <col min="388" max="388" width="8.28515625" bestFit="1" customWidth="1"/>
    <col min="389" max="389" width="9" bestFit="1" customWidth="1"/>
    <col min="390" max="390" width="8.28515625" bestFit="1" customWidth="1"/>
    <col min="391" max="393" width="9" bestFit="1" customWidth="1"/>
    <col min="394" max="394" width="8.28515625" bestFit="1" customWidth="1"/>
    <col min="395" max="398" width="9" bestFit="1" customWidth="1"/>
    <col min="399" max="399" width="8" bestFit="1" customWidth="1"/>
    <col min="400" max="401" width="9" bestFit="1" customWidth="1"/>
    <col min="402" max="402" width="8.28515625" bestFit="1" customWidth="1"/>
    <col min="403" max="404" width="9" bestFit="1" customWidth="1"/>
    <col min="405" max="405" width="8.28515625" bestFit="1" customWidth="1"/>
    <col min="406" max="406" width="8" bestFit="1" customWidth="1"/>
    <col min="407" max="410" width="9" bestFit="1" customWidth="1"/>
    <col min="411" max="411" width="8.28515625" bestFit="1" customWidth="1"/>
    <col min="412" max="412" width="9" bestFit="1" customWidth="1"/>
    <col min="413" max="413" width="8.28515625" bestFit="1" customWidth="1"/>
    <col min="414" max="414" width="9" bestFit="1" customWidth="1"/>
    <col min="415" max="415" width="8.28515625" bestFit="1" customWidth="1"/>
    <col min="416" max="421" width="9" bestFit="1" customWidth="1"/>
    <col min="422" max="422" width="8.28515625" bestFit="1" customWidth="1"/>
    <col min="423" max="427" width="9" bestFit="1" customWidth="1"/>
    <col min="428" max="428" width="8.28515625" bestFit="1" customWidth="1"/>
    <col min="429" max="429" width="9" bestFit="1" customWidth="1"/>
    <col min="430" max="431" width="8.28515625" bestFit="1" customWidth="1"/>
    <col min="432" max="436" width="9" bestFit="1" customWidth="1"/>
    <col min="437" max="437" width="8" bestFit="1" customWidth="1"/>
    <col min="438" max="438" width="9" bestFit="1" customWidth="1"/>
    <col min="439" max="439" width="8" bestFit="1" customWidth="1"/>
    <col min="440" max="443" width="9" bestFit="1" customWidth="1"/>
    <col min="444" max="444" width="8" bestFit="1" customWidth="1"/>
    <col min="445" max="445" width="8.28515625" bestFit="1" customWidth="1"/>
    <col min="446" max="447" width="9" bestFit="1" customWidth="1"/>
    <col min="448" max="448" width="10.5703125" bestFit="1" customWidth="1"/>
    <col min="449" max="449" width="9" bestFit="1" customWidth="1"/>
    <col min="450" max="450" width="8.28515625" bestFit="1" customWidth="1"/>
    <col min="451" max="451" width="9" bestFit="1" customWidth="1"/>
    <col min="452" max="452" width="8" bestFit="1" customWidth="1"/>
    <col min="453" max="459" width="9" bestFit="1" customWidth="1"/>
    <col min="460" max="460" width="8.28515625" bestFit="1" customWidth="1"/>
    <col min="461" max="461" width="9" bestFit="1" customWidth="1"/>
    <col min="462" max="463" width="8" bestFit="1" customWidth="1"/>
    <col min="464" max="465" width="9" bestFit="1" customWidth="1"/>
    <col min="466" max="466" width="10.5703125" bestFit="1" customWidth="1"/>
    <col min="467" max="467" width="9" bestFit="1" customWidth="1"/>
    <col min="468" max="468" width="8.28515625" bestFit="1" customWidth="1"/>
    <col min="469" max="469" width="10.5703125" bestFit="1" customWidth="1"/>
    <col min="470" max="470" width="8.28515625" bestFit="1" customWidth="1"/>
    <col min="471" max="472" width="9" bestFit="1" customWidth="1"/>
    <col min="473" max="473" width="8.28515625" bestFit="1" customWidth="1"/>
    <col min="474" max="475" width="9" bestFit="1" customWidth="1"/>
    <col min="476" max="476" width="8.28515625" bestFit="1" customWidth="1"/>
    <col min="477" max="477" width="8" bestFit="1" customWidth="1"/>
    <col min="478" max="479" width="9" bestFit="1" customWidth="1"/>
    <col min="480" max="481" width="8.28515625" bestFit="1" customWidth="1"/>
    <col min="482" max="485" width="9" bestFit="1" customWidth="1"/>
    <col min="486" max="486" width="8" bestFit="1" customWidth="1"/>
    <col min="487" max="487" width="9" bestFit="1" customWidth="1"/>
    <col min="488" max="488" width="10.5703125" bestFit="1" customWidth="1"/>
    <col min="489" max="489" width="9" bestFit="1" customWidth="1"/>
    <col min="490" max="490" width="8" bestFit="1" customWidth="1"/>
    <col min="491" max="491" width="9" bestFit="1" customWidth="1"/>
    <col min="492" max="493" width="8" bestFit="1" customWidth="1"/>
    <col min="494" max="494" width="8.28515625" bestFit="1" customWidth="1"/>
    <col min="495" max="496" width="8" bestFit="1" customWidth="1"/>
    <col min="497" max="498" width="9" bestFit="1" customWidth="1"/>
    <col min="499" max="499" width="8" bestFit="1" customWidth="1"/>
    <col min="500" max="501" width="8.28515625" bestFit="1" customWidth="1"/>
    <col min="502" max="504" width="9" bestFit="1" customWidth="1"/>
    <col min="505" max="505" width="8" bestFit="1" customWidth="1"/>
    <col min="506" max="508" width="9" bestFit="1" customWidth="1"/>
    <col min="509" max="509" width="8" bestFit="1" customWidth="1"/>
    <col min="510" max="510" width="9" bestFit="1" customWidth="1"/>
    <col min="511" max="511" width="8" bestFit="1" customWidth="1"/>
    <col min="512" max="515" width="9" bestFit="1" customWidth="1"/>
    <col min="516" max="516" width="8" bestFit="1" customWidth="1"/>
    <col min="517" max="519" width="9" bestFit="1" customWidth="1"/>
    <col min="520" max="520" width="8.28515625" bestFit="1" customWidth="1"/>
    <col min="521" max="522" width="8" bestFit="1" customWidth="1"/>
    <col min="523" max="523" width="9" bestFit="1" customWidth="1"/>
    <col min="524" max="524" width="8" bestFit="1" customWidth="1"/>
    <col min="525" max="525" width="9" bestFit="1" customWidth="1"/>
    <col min="526" max="526" width="8.28515625" bestFit="1" customWidth="1"/>
    <col min="527" max="529" width="8" bestFit="1" customWidth="1"/>
    <col min="530" max="530" width="9" bestFit="1" customWidth="1"/>
    <col min="531" max="531" width="8.28515625" bestFit="1" customWidth="1"/>
    <col min="532" max="532" width="8" bestFit="1" customWidth="1"/>
    <col min="533" max="534" width="9" bestFit="1" customWidth="1"/>
    <col min="535" max="535" width="8.28515625" bestFit="1" customWidth="1"/>
    <col min="536" max="537" width="19" bestFit="1" customWidth="1"/>
    <col min="538" max="540" width="20" bestFit="1" customWidth="1"/>
    <col min="541" max="542" width="19" bestFit="1" customWidth="1"/>
    <col min="543" max="543" width="18" bestFit="1" customWidth="1"/>
    <col min="544" max="545" width="20" bestFit="1" customWidth="1"/>
    <col min="546" max="549" width="19" bestFit="1" customWidth="1"/>
    <col min="550" max="551" width="20" bestFit="1" customWidth="1"/>
    <col min="552" max="552" width="19" bestFit="1" customWidth="1"/>
    <col min="553" max="555" width="20" bestFit="1" customWidth="1"/>
    <col min="556" max="556" width="19" bestFit="1" customWidth="1"/>
    <col min="557" max="558" width="20" bestFit="1" customWidth="1"/>
    <col min="559" max="559" width="19" bestFit="1" customWidth="1"/>
    <col min="560" max="561" width="20" bestFit="1" customWidth="1"/>
    <col min="562" max="562" width="19" bestFit="1" customWidth="1"/>
    <col min="563" max="566" width="20" bestFit="1" customWidth="1"/>
    <col min="567" max="569" width="19" bestFit="1" customWidth="1"/>
    <col min="570" max="570" width="20" bestFit="1" customWidth="1"/>
    <col min="571" max="572" width="19" bestFit="1" customWidth="1"/>
    <col min="573" max="573" width="20" bestFit="1" customWidth="1"/>
    <col min="574" max="576" width="19" bestFit="1" customWidth="1"/>
    <col min="577" max="579" width="20" bestFit="1" customWidth="1"/>
    <col min="580" max="580" width="19" bestFit="1" customWidth="1"/>
    <col min="581" max="581" width="20" bestFit="1" customWidth="1"/>
    <col min="582" max="582" width="19" bestFit="1" customWidth="1"/>
    <col min="583" max="584" width="20" bestFit="1" customWidth="1"/>
    <col min="585" max="585" width="19" bestFit="1" customWidth="1"/>
    <col min="586" max="587" width="20" bestFit="1" customWidth="1"/>
    <col min="588" max="588" width="19" bestFit="1" customWidth="1"/>
    <col min="589" max="589" width="20" bestFit="1" customWidth="1"/>
    <col min="590" max="590" width="19" bestFit="1" customWidth="1"/>
    <col min="591" max="591" width="20" bestFit="1" customWidth="1"/>
    <col min="592" max="592" width="18" bestFit="1" customWidth="1"/>
    <col min="593" max="593" width="20" bestFit="1" customWidth="1"/>
    <col min="594" max="598" width="19" bestFit="1" customWidth="1"/>
    <col min="599" max="602" width="20" bestFit="1" customWidth="1"/>
    <col min="603" max="603" width="19" bestFit="1" customWidth="1"/>
    <col min="604" max="604" width="21.7109375" bestFit="1" customWidth="1"/>
    <col min="605" max="605" width="19" bestFit="1" customWidth="1"/>
    <col min="606" max="606" width="20" bestFit="1" customWidth="1"/>
    <col min="607" max="608" width="19" bestFit="1" customWidth="1"/>
    <col min="609" max="609" width="20" bestFit="1" customWidth="1"/>
    <col min="610" max="610" width="19" bestFit="1" customWidth="1"/>
    <col min="611" max="611" width="20" bestFit="1" customWidth="1"/>
    <col min="612" max="612" width="19" bestFit="1" customWidth="1"/>
    <col min="613" max="613" width="20" bestFit="1" customWidth="1"/>
    <col min="614" max="614" width="19" bestFit="1" customWidth="1"/>
    <col min="615" max="615" width="20" bestFit="1" customWidth="1"/>
    <col min="616" max="616" width="19" bestFit="1" customWidth="1"/>
    <col min="617" max="617" width="21.7109375" bestFit="1" customWidth="1"/>
    <col min="618" max="618" width="19" bestFit="1" customWidth="1"/>
    <col min="619" max="620" width="20" bestFit="1" customWidth="1"/>
    <col min="621" max="621" width="19" bestFit="1" customWidth="1"/>
    <col min="622" max="622" width="18" bestFit="1" customWidth="1"/>
    <col min="623" max="623" width="19" bestFit="1" customWidth="1"/>
    <col min="624" max="624" width="20" bestFit="1" customWidth="1"/>
    <col min="625" max="625" width="21.7109375" bestFit="1" customWidth="1"/>
    <col min="626" max="630" width="19" bestFit="1" customWidth="1"/>
    <col min="631" max="634" width="20" bestFit="1" customWidth="1"/>
    <col min="635" max="635" width="19" bestFit="1" customWidth="1"/>
    <col min="636" max="636" width="21.7109375" bestFit="1" customWidth="1"/>
    <col min="637" max="640" width="19" bestFit="1" customWidth="1"/>
    <col min="641" max="641" width="20" bestFit="1" customWidth="1"/>
    <col min="642" max="642" width="19" bestFit="1" customWidth="1"/>
    <col min="643" max="643" width="20" bestFit="1" customWidth="1"/>
    <col min="644" max="646" width="19" bestFit="1" customWidth="1"/>
    <col min="647" max="647" width="21.7109375" bestFit="1" customWidth="1"/>
    <col min="648" max="648" width="20" bestFit="1" customWidth="1"/>
    <col min="649" max="649" width="18" bestFit="1" customWidth="1"/>
    <col min="650" max="652" width="19" bestFit="1" customWidth="1"/>
    <col min="653" max="653" width="20" bestFit="1" customWidth="1"/>
    <col min="654" max="655" width="19" bestFit="1" customWidth="1"/>
    <col min="656" max="656" width="20" bestFit="1" customWidth="1"/>
    <col min="657" max="657" width="18" bestFit="1" customWidth="1"/>
    <col min="658" max="658" width="19" bestFit="1" customWidth="1"/>
    <col min="659" max="660" width="20" bestFit="1" customWidth="1"/>
    <col min="661" max="662" width="19" bestFit="1" customWidth="1"/>
    <col min="663" max="663" width="20" bestFit="1" customWidth="1"/>
    <col min="664" max="665" width="19" bestFit="1" customWidth="1"/>
    <col min="666" max="666" width="18" bestFit="1" customWidth="1"/>
    <col min="667" max="668" width="20" bestFit="1" customWidth="1"/>
    <col min="669" max="669" width="19" bestFit="1" customWidth="1"/>
    <col min="670" max="673" width="20" bestFit="1" customWidth="1"/>
    <col min="674" max="675" width="19" bestFit="1" customWidth="1"/>
    <col min="676" max="676" width="20" bestFit="1" customWidth="1"/>
    <col min="677" max="677" width="19" bestFit="1" customWidth="1"/>
    <col min="678" max="678" width="18" bestFit="1" customWidth="1"/>
    <col min="679" max="681" width="19" bestFit="1" customWidth="1"/>
    <col min="682" max="682" width="18" bestFit="1" customWidth="1"/>
    <col min="683" max="683" width="19" bestFit="1" customWidth="1"/>
    <col min="684" max="688" width="20" bestFit="1" customWidth="1"/>
    <col min="689" max="689" width="19" bestFit="1" customWidth="1"/>
    <col min="690" max="694" width="20" bestFit="1" customWidth="1"/>
    <col min="695" max="699" width="19" bestFit="1" customWidth="1"/>
    <col min="700" max="700" width="20" bestFit="1" customWidth="1"/>
    <col min="701" max="702" width="19" bestFit="1" customWidth="1"/>
    <col min="703" max="703" width="20" bestFit="1" customWidth="1"/>
    <col min="704" max="709" width="19" bestFit="1" customWidth="1"/>
    <col min="710" max="710" width="18" bestFit="1" customWidth="1"/>
    <col min="711" max="712" width="19" bestFit="1" customWidth="1"/>
    <col min="713" max="713" width="20" bestFit="1" customWidth="1"/>
    <col min="714" max="714" width="19" bestFit="1" customWidth="1"/>
    <col min="715" max="715" width="20" bestFit="1" customWidth="1"/>
    <col min="716" max="717" width="19" bestFit="1" customWidth="1"/>
    <col min="718" max="718" width="20" bestFit="1" customWidth="1"/>
    <col min="719" max="719" width="18" bestFit="1" customWidth="1"/>
    <col min="720" max="722" width="19" bestFit="1" customWidth="1"/>
    <col min="723" max="723" width="20" bestFit="1" customWidth="1"/>
    <col min="724" max="726" width="19" bestFit="1" customWidth="1"/>
    <col min="727" max="727" width="18" bestFit="1" customWidth="1"/>
    <col min="728" max="728" width="20" bestFit="1" customWidth="1"/>
    <col min="729" max="734" width="19" bestFit="1" customWidth="1"/>
    <col min="735" max="735" width="20" bestFit="1" customWidth="1"/>
    <col min="736" max="739" width="19" bestFit="1" customWidth="1"/>
    <col min="740" max="740" width="18" bestFit="1" customWidth="1"/>
    <col min="741" max="742" width="19" bestFit="1" customWidth="1"/>
    <col min="743" max="743" width="20" bestFit="1" customWidth="1"/>
    <col min="744" max="744" width="18" bestFit="1" customWidth="1"/>
    <col min="745" max="746" width="20" bestFit="1" customWidth="1"/>
    <col min="747" max="747" width="18" bestFit="1" customWidth="1"/>
    <col min="748" max="749" width="19" bestFit="1" customWidth="1"/>
    <col min="750" max="750" width="18" bestFit="1" customWidth="1"/>
    <col min="751" max="753" width="19" bestFit="1" customWidth="1"/>
    <col min="754" max="754" width="20" bestFit="1" customWidth="1"/>
    <col min="755" max="760" width="19" bestFit="1" customWidth="1"/>
    <col min="761" max="761" width="18" bestFit="1" customWidth="1"/>
    <col min="762" max="762" width="7.5703125" bestFit="1" customWidth="1"/>
    <col min="763" max="763" width="19" bestFit="1" customWidth="1"/>
    <col min="764" max="764" width="20" bestFit="1" customWidth="1"/>
    <col min="765" max="767" width="19" bestFit="1" customWidth="1"/>
    <col min="768" max="768" width="20" bestFit="1" customWidth="1"/>
    <col min="769" max="776" width="19" bestFit="1" customWidth="1"/>
    <col min="777" max="778" width="20" bestFit="1" customWidth="1"/>
    <col min="779" max="784" width="19" bestFit="1" customWidth="1"/>
    <col min="785" max="786" width="20" bestFit="1" customWidth="1"/>
    <col min="787" max="789" width="19" bestFit="1" customWidth="1"/>
    <col min="790" max="790" width="20" bestFit="1" customWidth="1"/>
    <col min="791" max="791" width="19" bestFit="1" customWidth="1"/>
    <col min="792" max="792" width="20" bestFit="1" customWidth="1"/>
    <col min="793" max="793" width="18" bestFit="1" customWidth="1"/>
    <col min="794" max="799" width="19" bestFit="1" customWidth="1"/>
    <col min="800" max="800" width="20" bestFit="1" customWidth="1"/>
    <col min="801" max="801" width="19" bestFit="1" customWidth="1"/>
    <col min="802" max="802" width="18" bestFit="1" customWidth="1"/>
    <col min="803" max="803" width="19.7109375" bestFit="1" customWidth="1"/>
    <col min="804" max="804" width="15.5703125" bestFit="1" customWidth="1"/>
    <col min="805" max="805" width="22.7109375" bestFit="1" customWidth="1"/>
  </cols>
  <sheetData>
    <row r="1" spans="1:8" x14ac:dyDescent="0.25">
      <c r="A1" s="35" t="s">
        <v>654</v>
      </c>
      <c r="B1" s="35"/>
      <c r="D1" s="36" t="s">
        <v>661</v>
      </c>
      <c r="E1" s="36"/>
      <c r="G1" s="36" t="s">
        <v>662</v>
      </c>
      <c r="H1" s="36"/>
    </row>
    <row r="2" spans="1:8" x14ac:dyDescent="0.25">
      <c r="A2" s="26" t="s">
        <v>651</v>
      </c>
      <c r="B2" s="27" t="s">
        <v>632</v>
      </c>
      <c r="D2" s="36"/>
      <c r="E2" s="36"/>
      <c r="G2" s="36"/>
      <c r="H2" s="36"/>
    </row>
    <row r="3" spans="1:8" x14ac:dyDescent="0.25">
      <c r="A3" s="4" t="s">
        <v>107</v>
      </c>
      <c r="B3" s="11">
        <v>27.07</v>
      </c>
      <c r="D3" s="4" t="str">
        <f>A3</f>
        <v>Booking Holdings Inc.</v>
      </c>
      <c r="E3" s="11">
        <f>GETPIVOTDATA("Chg",$A$2,"Company",D3)</f>
        <v>27.07</v>
      </c>
      <c r="G3" t="str" cm="1">
        <f t="array" ref="G3:G22">A487:A506</f>
        <v>Paycom Software Inc.</v>
      </c>
      <c r="H3" s="27">
        <f>GETPIVOTDATA("Chg",$A$2,"Company",G3)</f>
        <v>-5.77</v>
      </c>
    </row>
    <row r="4" spans="1:8" x14ac:dyDescent="0.25">
      <c r="A4" s="4" t="s">
        <v>194</v>
      </c>
      <c r="B4" s="11">
        <v>13.4</v>
      </c>
      <c r="D4" s="29" t="str">
        <f t="shared" ref="D4:D22" si="0">A4</f>
        <v>Chipotle Mexican Grill Inc.</v>
      </c>
      <c r="E4" s="30">
        <f t="shared" ref="E4:E22" si="1">GETPIVOTDATA("Chg",$A$2,"Company",D4)</f>
        <v>13.4</v>
      </c>
      <c r="G4" s="31" t="str">
        <v>Old Dominion Freight Line Inc.</v>
      </c>
      <c r="H4" s="32">
        <f t="shared" ref="H4:H22" si="2">GETPIVOTDATA("Chg",$A$2,"Company",G4)</f>
        <v>-5.98</v>
      </c>
    </row>
    <row r="5" spans="1:8" x14ac:dyDescent="0.25">
      <c r="A5" s="4" t="s">
        <v>140</v>
      </c>
      <c r="B5" s="11">
        <v>11.86</v>
      </c>
      <c r="D5" s="4" t="str">
        <f t="shared" si="0"/>
        <v>Moderna Inc.</v>
      </c>
      <c r="E5" s="11">
        <f t="shared" si="1"/>
        <v>11.86</v>
      </c>
      <c r="G5" t="str">
        <v>Equinix Inc.</v>
      </c>
      <c r="H5" s="27">
        <f t="shared" si="2"/>
        <v>-6.04</v>
      </c>
    </row>
    <row r="6" spans="1:8" x14ac:dyDescent="0.25">
      <c r="A6" s="4" t="s">
        <v>73</v>
      </c>
      <c r="B6" s="11">
        <v>9.86</v>
      </c>
      <c r="D6" s="29" t="str">
        <f t="shared" si="0"/>
        <v>Deere &amp; Company</v>
      </c>
      <c r="E6" s="30">
        <f t="shared" si="1"/>
        <v>9.86</v>
      </c>
      <c r="G6" s="31" t="str">
        <v>United Parcel Service Inc. Class B</v>
      </c>
      <c r="H6" s="32">
        <f t="shared" si="2"/>
        <v>-6.13</v>
      </c>
    </row>
    <row r="7" spans="1:8" x14ac:dyDescent="0.25">
      <c r="A7" s="4" t="s">
        <v>53</v>
      </c>
      <c r="B7" s="11">
        <v>9.23</v>
      </c>
      <c r="D7" s="4" t="str">
        <f t="shared" si="0"/>
        <v>Adobe Incorporated</v>
      </c>
      <c r="E7" s="11">
        <f t="shared" si="1"/>
        <v>9.23</v>
      </c>
      <c r="G7" t="str">
        <v>UnitedHealth Group Incorporated</v>
      </c>
      <c r="H7" s="27">
        <f t="shared" si="2"/>
        <v>-6.61</v>
      </c>
    </row>
    <row r="8" spans="1:8" x14ac:dyDescent="0.25">
      <c r="A8" s="4" t="s">
        <v>251</v>
      </c>
      <c r="B8" s="11">
        <v>8.11</v>
      </c>
      <c r="D8" s="29" t="str">
        <f t="shared" si="0"/>
        <v>TransDigm Group Incorporated</v>
      </c>
      <c r="E8" s="30">
        <f t="shared" si="1"/>
        <v>8.11</v>
      </c>
      <c r="G8" s="33" t="str">
        <v>FedEx Corporation</v>
      </c>
      <c r="H8" s="32">
        <f t="shared" si="2"/>
        <v>-7.11</v>
      </c>
    </row>
    <row r="9" spans="1:8" x14ac:dyDescent="0.25">
      <c r="A9" s="4" t="s">
        <v>42</v>
      </c>
      <c r="B9" s="11">
        <v>6.5</v>
      </c>
      <c r="D9" s="4" t="str">
        <f t="shared" si="0"/>
        <v>Accenture Plc Class A</v>
      </c>
      <c r="E9" s="11">
        <f t="shared" si="1"/>
        <v>6.5</v>
      </c>
      <c r="G9" t="str">
        <v>Broadcom Inc.</v>
      </c>
      <c r="H9" s="27">
        <f t="shared" si="2"/>
        <v>-7.12</v>
      </c>
    </row>
    <row r="10" spans="1:8" x14ac:dyDescent="0.25">
      <c r="A10" s="4" t="s">
        <v>79</v>
      </c>
      <c r="B10" s="11">
        <v>4.3600000000000003</v>
      </c>
      <c r="D10" s="29" t="str">
        <f t="shared" si="0"/>
        <v>Lockheed Martin Corporation</v>
      </c>
      <c r="E10" s="30">
        <f t="shared" si="1"/>
        <v>4.3600000000000003</v>
      </c>
      <c r="G10" s="31" t="str">
        <v>Public Storage</v>
      </c>
      <c r="H10" s="32">
        <f t="shared" si="2"/>
        <v>-7.25</v>
      </c>
    </row>
    <row r="11" spans="1:8" x14ac:dyDescent="0.25">
      <c r="A11" s="4" t="s">
        <v>103</v>
      </c>
      <c r="B11" s="11">
        <v>4.17</v>
      </c>
      <c r="D11" s="4" t="str">
        <f t="shared" si="0"/>
        <v>ServiceNow Inc.</v>
      </c>
      <c r="E11" s="11">
        <f t="shared" si="1"/>
        <v>4.17</v>
      </c>
      <c r="G11" t="str">
        <v>Laboratory Corporation of America Holdings</v>
      </c>
      <c r="H11" s="27">
        <f t="shared" si="2"/>
        <v>-7.63</v>
      </c>
    </row>
    <row r="12" spans="1:8" x14ac:dyDescent="0.25">
      <c r="A12" s="4" t="s">
        <v>264</v>
      </c>
      <c r="B12" s="11">
        <v>3.94</v>
      </c>
      <c r="D12" s="29" t="str">
        <f t="shared" si="0"/>
        <v>Rockwell Automation Inc.</v>
      </c>
      <c r="E12" s="30">
        <f t="shared" si="1"/>
        <v>3.94</v>
      </c>
      <c r="G12" s="31" t="str">
        <v>Mettler-Toledo International Inc.</v>
      </c>
      <c r="H12" s="32">
        <f t="shared" si="2"/>
        <v>-7.83</v>
      </c>
    </row>
    <row r="13" spans="1:8" x14ac:dyDescent="0.25">
      <c r="A13" s="4" t="s">
        <v>72</v>
      </c>
      <c r="B13" s="11">
        <v>3.71</v>
      </c>
      <c r="D13" s="4" t="str">
        <f t="shared" si="0"/>
        <v>Caterpillar Inc.</v>
      </c>
      <c r="E13" s="11">
        <f t="shared" si="1"/>
        <v>3.71</v>
      </c>
      <c r="G13" t="str">
        <v>Teleflex Incorporated</v>
      </c>
      <c r="H13" s="27">
        <f t="shared" si="2"/>
        <v>-7.92</v>
      </c>
    </row>
    <row r="14" spans="1:8" x14ac:dyDescent="0.25">
      <c r="A14" s="4" t="s">
        <v>398</v>
      </c>
      <c r="B14" s="11">
        <v>3.63</v>
      </c>
      <c r="D14" s="29" t="str">
        <f t="shared" si="0"/>
        <v>Cooper Companies Inc.</v>
      </c>
      <c r="E14" s="30">
        <f t="shared" si="1"/>
        <v>3.63</v>
      </c>
      <c r="G14" s="31" t="str">
        <v>IDEXX Laboratories Inc.</v>
      </c>
      <c r="H14" s="32">
        <f t="shared" si="2"/>
        <v>-8.64</v>
      </c>
    </row>
    <row r="15" spans="1:8" x14ac:dyDescent="0.25">
      <c r="A15" s="4" t="s">
        <v>342</v>
      </c>
      <c r="B15" s="11">
        <v>3.15</v>
      </c>
      <c r="D15" s="4" t="str">
        <f t="shared" si="0"/>
        <v>EPAM Systems Inc.</v>
      </c>
      <c r="E15" s="11">
        <f t="shared" si="1"/>
        <v>3.15</v>
      </c>
      <c r="G15" t="str">
        <v>KLA Corporation</v>
      </c>
      <c r="H15" s="27">
        <f t="shared" si="2"/>
        <v>-8.66</v>
      </c>
    </row>
    <row r="16" spans="1:8" x14ac:dyDescent="0.25">
      <c r="A16" s="4" t="s">
        <v>192</v>
      </c>
      <c r="B16" s="11">
        <v>3.13</v>
      </c>
      <c r="D16" s="29" t="str">
        <f t="shared" si="0"/>
        <v>Charter Communications Inc. Class A</v>
      </c>
      <c r="E16" s="30">
        <f t="shared" si="1"/>
        <v>3.13</v>
      </c>
      <c r="G16" s="31" t="str">
        <v>Cigna Corporation</v>
      </c>
      <c r="H16" s="32">
        <f t="shared" si="2"/>
        <v>-9.99</v>
      </c>
    </row>
    <row r="17" spans="1:8" x14ac:dyDescent="0.25">
      <c r="A17" s="4" t="s">
        <v>415</v>
      </c>
      <c r="B17" s="11">
        <v>2.94</v>
      </c>
      <c r="D17" s="4" t="str">
        <f t="shared" si="0"/>
        <v>Zebra Technologies Corporation Class A</v>
      </c>
      <c r="E17" s="11">
        <f t="shared" si="1"/>
        <v>2.94</v>
      </c>
      <c r="G17" t="str">
        <v>Tesla Inc</v>
      </c>
      <c r="H17" s="27">
        <f t="shared" si="2"/>
        <v>-11.92</v>
      </c>
    </row>
    <row r="18" spans="1:8" x14ac:dyDescent="0.25">
      <c r="A18" s="4" t="s">
        <v>438</v>
      </c>
      <c r="B18" s="11">
        <v>2.82</v>
      </c>
      <c r="D18" s="29" t="str">
        <f t="shared" si="0"/>
        <v>Everest Re Group Ltd.</v>
      </c>
      <c r="E18" s="30">
        <f t="shared" si="1"/>
        <v>2.82</v>
      </c>
      <c r="G18" s="31" t="str">
        <v>Thermo Fisher Scientific Inc.</v>
      </c>
      <c r="H18" s="32">
        <f t="shared" si="2"/>
        <v>-12.38</v>
      </c>
    </row>
    <row r="19" spans="1:8" x14ac:dyDescent="0.25">
      <c r="A19" s="4" t="s">
        <v>21</v>
      </c>
      <c r="B19" s="11">
        <v>2.79</v>
      </c>
      <c r="D19" s="4" t="str">
        <f t="shared" si="0"/>
        <v>Chevron Corporation</v>
      </c>
      <c r="E19" s="11">
        <f t="shared" si="1"/>
        <v>2.79</v>
      </c>
      <c r="G19" t="str">
        <v>Humana Inc.</v>
      </c>
      <c r="H19" s="27">
        <f t="shared" si="2"/>
        <v>-14.84</v>
      </c>
    </row>
    <row r="20" spans="1:8" x14ac:dyDescent="0.25">
      <c r="A20" s="4" t="s">
        <v>106</v>
      </c>
      <c r="B20" s="11">
        <v>2.74</v>
      </c>
      <c r="D20" s="29" t="str">
        <f t="shared" si="0"/>
        <v>Regeneron Pharmaceuticals Inc.</v>
      </c>
      <c r="E20" s="30">
        <f t="shared" si="1"/>
        <v>2.74</v>
      </c>
      <c r="G20" s="31" t="str">
        <v>FactSet Research Systems Inc.</v>
      </c>
      <c r="H20" s="32">
        <f t="shared" si="2"/>
        <v>-22.9</v>
      </c>
    </row>
    <row r="21" spans="1:8" x14ac:dyDescent="0.25">
      <c r="A21" s="4" t="s">
        <v>89</v>
      </c>
      <c r="B21" s="11">
        <v>2.6</v>
      </c>
      <c r="D21" s="4" t="str">
        <f t="shared" si="0"/>
        <v>Boeing Company</v>
      </c>
      <c r="E21" s="11">
        <f t="shared" si="1"/>
        <v>2.6</v>
      </c>
      <c r="G21" t="str">
        <v>AutoZone Inc.</v>
      </c>
      <c r="H21" s="27">
        <f t="shared" si="2"/>
        <v>-24.16</v>
      </c>
    </row>
    <row r="22" spans="1:8" x14ac:dyDescent="0.25">
      <c r="A22" s="4" t="s">
        <v>30</v>
      </c>
      <c r="B22" s="11">
        <v>2.6</v>
      </c>
      <c r="D22" s="29" t="str">
        <f t="shared" si="0"/>
        <v>Meta Platforms Inc. Class A</v>
      </c>
      <c r="E22" s="30">
        <f t="shared" si="1"/>
        <v>2.6</v>
      </c>
      <c r="G22" s="31" t="str">
        <v>NVR Inc.</v>
      </c>
      <c r="H22" s="32">
        <f t="shared" si="2"/>
        <v>-49.65</v>
      </c>
    </row>
    <row r="23" spans="1:8" x14ac:dyDescent="0.25">
      <c r="A23" s="4" t="s">
        <v>99</v>
      </c>
      <c r="B23" s="11">
        <v>2.5299999999999998</v>
      </c>
    </row>
    <row r="24" spans="1:8" x14ac:dyDescent="0.25">
      <c r="A24" s="4" t="s">
        <v>33</v>
      </c>
      <c r="B24" s="11">
        <v>2.4900000000000002</v>
      </c>
    </row>
    <row r="25" spans="1:8" x14ac:dyDescent="0.25">
      <c r="A25" s="4" t="s">
        <v>242</v>
      </c>
      <c r="B25" s="11">
        <v>2.41</v>
      </c>
    </row>
    <row r="26" spans="1:8" x14ac:dyDescent="0.25">
      <c r="A26" s="4" t="s">
        <v>64</v>
      </c>
      <c r="B26" s="11">
        <v>2.39</v>
      </c>
    </row>
    <row r="27" spans="1:8" x14ac:dyDescent="0.25">
      <c r="A27" s="4" t="s">
        <v>148</v>
      </c>
      <c r="B27" s="11">
        <v>2.3199999999999998</v>
      </c>
    </row>
    <row r="28" spans="1:8" x14ac:dyDescent="0.25">
      <c r="A28" s="4" t="s">
        <v>184</v>
      </c>
      <c r="B28" s="11">
        <v>2.29</v>
      </c>
    </row>
    <row r="29" spans="1:8" x14ac:dyDescent="0.25">
      <c r="A29" s="4" t="s">
        <v>92</v>
      </c>
      <c r="B29" s="11">
        <v>2.27</v>
      </c>
    </row>
    <row r="30" spans="1:8" x14ac:dyDescent="0.25">
      <c r="A30" s="4" t="s">
        <v>51</v>
      </c>
      <c r="B30" s="11">
        <v>2.21</v>
      </c>
    </row>
    <row r="31" spans="1:8" x14ac:dyDescent="0.25">
      <c r="A31" s="4" t="s">
        <v>214</v>
      </c>
      <c r="B31" s="11">
        <v>2.19</v>
      </c>
    </row>
    <row r="32" spans="1:8" x14ac:dyDescent="0.25">
      <c r="A32" s="4" t="s">
        <v>157</v>
      </c>
      <c r="B32" s="11">
        <v>2.17</v>
      </c>
    </row>
    <row r="33" spans="1:2" x14ac:dyDescent="0.25">
      <c r="A33" s="4" t="s">
        <v>231</v>
      </c>
      <c r="B33" s="11">
        <v>2.09</v>
      </c>
    </row>
    <row r="34" spans="1:2" x14ac:dyDescent="0.25">
      <c r="A34" s="4" t="s">
        <v>47</v>
      </c>
      <c r="B34" s="11">
        <v>2.08</v>
      </c>
    </row>
    <row r="35" spans="1:2" x14ac:dyDescent="0.25">
      <c r="A35" s="4" t="s">
        <v>58</v>
      </c>
      <c r="B35" s="11">
        <v>2.08</v>
      </c>
    </row>
    <row r="36" spans="1:2" x14ac:dyDescent="0.25">
      <c r="A36" s="4" t="s">
        <v>159</v>
      </c>
      <c r="B36" s="11">
        <v>2.0299999999999998</v>
      </c>
    </row>
    <row r="37" spans="1:2" x14ac:dyDescent="0.25">
      <c r="A37" s="4" t="s">
        <v>419</v>
      </c>
      <c r="B37" s="11">
        <v>1.99</v>
      </c>
    </row>
    <row r="38" spans="1:2" x14ac:dyDescent="0.25">
      <c r="A38" s="4" t="s">
        <v>91</v>
      </c>
      <c r="B38" s="11">
        <v>1.99</v>
      </c>
    </row>
    <row r="39" spans="1:2" x14ac:dyDescent="0.25">
      <c r="A39" s="4" t="s">
        <v>10</v>
      </c>
      <c r="B39" s="11">
        <v>1.97</v>
      </c>
    </row>
    <row r="40" spans="1:2" x14ac:dyDescent="0.25">
      <c r="A40" s="4" t="s">
        <v>134</v>
      </c>
      <c r="B40" s="11">
        <v>1.94</v>
      </c>
    </row>
    <row r="41" spans="1:2" x14ac:dyDescent="0.25">
      <c r="A41" s="4" t="s">
        <v>348</v>
      </c>
      <c r="B41" s="11">
        <v>1.92</v>
      </c>
    </row>
    <row r="42" spans="1:2" x14ac:dyDescent="0.25">
      <c r="A42" s="4" t="s">
        <v>394</v>
      </c>
      <c r="B42" s="11">
        <v>1.88</v>
      </c>
    </row>
    <row r="43" spans="1:2" x14ac:dyDescent="0.25">
      <c r="A43" s="4" t="s">
        <v>24</v>
      </c>
      <c r="B43" s="11">
        <v>1.86</v>
      </c>
    </row>
    <row r="44" spans="1:2" x14ac:dyDescent="0.25">
      <c r="A44" s="4" t="s">
        <v>370</v>
      </c>
      <c r="B44" s="11">
        <v>1.85</v>
      </c>
    </row>
    <row r="45" spans="1:2" x14ac:dyDescent="0.25">
      <c r="A45" s="4" t="s">
        <v>197</v>
      </c>
      <c r="B45" s="11">
        <v>1.8</v>
      </c>
    </row>
    <row r="46" spans="1:2" x14ac:dyDescent="0.25">
      <c r="A46" s="4" t="s">
        <v>71</v>
      </c>
      <c r="B46" s="11">
        <v>1.76</v>
      </c>
    </row>
    <row r="47" spans="1:2" x14ac:dyDescent="0.25">
      <c r="A47" s="4" t="s">
        <v>166</v>
      </c>
      <c r="B47" s="11">
        <v>1.76</v>
      </c>
    </row>
    <row r="48" spans="1:2" x14ac:dyDescent="0.25">
      <c r="A48" s="4" t="s">
        <v>331</v>
      </c>
      <c r="B48" s="11">
        <v>1.7</v>
      </c>
    </row>
    <row r="49" spans="1:2" x14ac:dyDescent="0.25">
      <c r="A49" s="4" t="s">
        <v>22</v>
      </c>
      <c r="B49" s="11">
        <v>1.69</v>
      </c>
    </row>
    <row r="50" spans="1:2" x14ac:dyDescent="0.25">
      <c r="A50" s="4" t="s">
        <v>228</v>
      </c>
      <c r="B50" s="11">
        <v>1.63</v>
      </c>
    </row>
    <row r="51" spans="1:2" x14ac:dyDescent="0.25">
      <c r="A51" s="4" t="s">
        <v>267</v>
      </c>
      <c r="B51" s="11">
        <v>1.54</v>
      </c>
    </row>
    <row r="52" spans="1:2" x14ac:dyDescent="0.25">
      <c r="A52" s="4" t="s">
        <v>122</v>
      </c>
      <c r="B52" s="11">
        <v>1.52</v>
      </c>
    </row>
    <row r="53" spans="1:2" x14ac:dyDescent="0.25">
      <c r="A53" s="4" t="s">
        <v>114</v>
      </c>
      <c r="B53" s="11">
        <v>1.47</v>
      </c>
    </row>
    <row r="54" spans="1:2" x14ac:dyDescent="0.25">
      <c r="A54" s="4" t="s">
        <v>230</v>
      </c>
      <c r="B54" s="11">
        <v>1.47</v>
      </c>
    </row>
    <row r="55" spans="1:2" x14ac:dyDescent="0.25">
      <c r="A55" s="4" t="s">
        <v>445</v>
      </c>
      <c r="B55" s="11">
        <v>1.45</v>
      </c>
    </row>
    <row r="56" spans="1:2" x14ac:dyDescent="0.25">
      <c r="A56" s="4" t="s">
        <v>15</v>
      </c>
      <c r="B56" s="11">
        <v>1.43</v>
      </c>
    </row>
    <row r="57" spans="1:2" x14ac:dyDescent="0.25">
      <c r="A57" s="4" t="s">
        <v>206</v>
      </c>
      <c r="B57" s="11">
        <v>1.4</v>
      </c>
    </row>
    <row r="58" spans="1:2" x14ac:dyDescent="0.25">
      <c r="A58" s="4" t="s">
        <v>245</v>
      </c>
      <c r="B58" s="11">
        <v>1.36</v>
      </c>
    </row>
    <row r="59" spans="1:2" x14ac:dyDescent="0.25">
      <c r="A59" s="4" t="s">
        <v>290</v>
      </c>
      <c r="B59" s="11">
        <v>1.36</v>
      </c>
    </row>
    <row r="60" spans="1:2" x14ac:dyDescent="0.25">
      <c r="A60" s="4" t="s">
        <v>396</v>
      </c>
      <c r="B60" s="11">
        <v>1.34</v>
      </c>
    </row>
    <row r="61" spans="1:2" x14ac:dyDescent="0.25">
      <c r="A61" s="4" t="s">
        <v>7</v>
      </c>
      <c r="B61" s="11">
        <v>1.33</v>
      </c>
    </row>
    <row r="62" spans="1:2" x14ac:dyDescent="0.25">
      <c r="A62" s="4" t="s">
        <v>360</v>
      </c>
      <c r="B62" s="11">
        <v>1.27</v>
      </c>
    </row>
    <row r="63" spans="1:2" x14ac:dyDescent="0.25">
      <c r="A63" s="4" t="s">
        <v>492</v>
      </c>
      <c r="B63" s="11">
        <v>1.25</v>
      </c>
    </row>
    <row r="64" spans="1:2" x14ac:dyDescent="0.25">
      <c r="A64" s="4" t="s">
        <v>374</v>
      </c>
      <c r="B64" s="11">
        <v>1.25</v>
      </c>
    </row>
    <row r="65" spans="1:2" x14ac:dyDescent="0.25">
      <c r="A65" s="4" t="s">
        <v>174</v>
      </c>
      <c r="B65" s="11">
        <v>1.25</v>
      </c>
    </row>
    <row r="66" spans="1:2" x14ac:dyDescent="0.25">
      <c r="A66" s="4" t="s">
        <v>44</v>
      </c>
      <c r="B66" s="11">
        <v>1.24</v>
      </c>
    </row>
    <row r="67" spans="1:2" x14ac:dyDescent="0.25">
      <c r="A67" s="4" t="s">
        <v>142</v>
      </c>
      <c r="B67" s="11">
        <v>1.21</v>
      </c>
    </row>
    <row r="68" spans="1:2" x14ac:dyDescent="0.25">
      <c r="A68" s="4" t="s">
        <v>162</v>
      </c>
      <c r="B68" s="11">
        <v>1.17</v>
      </c>
    </row>
    <row r="69" spans="1:2" x14ac:dyDescent="0.25">
      <c r="A69" s="4" t="s">
        <v>379</v>
      </c>
      <c r="B69" s="11">
        <v>1.1599999999999999</v>
      </c>
    </row>
    <row r="70" spans="1:2" x14ac:dyDescent="0.25">
      <c r="A70" s="4" t="s">
        <v>210</v>
      </c>
      <c r="B70" s="11">
        <v>1.1299999999999999</v>
      </c>
    </row>
    <row r="71" spans="1:2" x14ac:dyDescent="0.25">
      <c r="A71" s="4" t="s">
        <v>185</v>
      </c>
      <c r="B71" s="11">
        <v>1.1200000000000001</v>
      </c>
    </row>
    <row r="72" spans="1:2" x14ac:dyDescent="0.25">
      <c r="A72" s="4" t="s">
        <v>101</v>
      </c>
      <c r="B72" s="11">
        <v>1.1200000000000001</v>
      </c>
    </row>
    <row r="73" spans="1:2" x14ac:dyDescent="0.25">
      <c r="A73" s="4" t="s">
        <v>35</v>
      </c>
      <c r="B73" s="11">
        <v>1.0900000000000001</v>
      </c>
    </row>
    <row r="74" spans="1:2" x14ac:dyDescent="0.25">
      <c r="A74" s="4" t="s">
        <v>495</v>
      </c>
      <c r="B74" s="11">
        <v>1.0900000000000001</v>
      </c>
    </row>
    <row r="75" spans="1:2" x14ac:dyDescent="0.25">
      <c r="A75" s="4" t="s">
        <v>502</v>
      </c>
      <c r="B75" s="11">
        <v>1.01</v>
      </c>
    </row>
    <row r="76" spans="1:2" x14ac:dyDescent="0.25">
      <c r="A76" s="4" t="s">
        <v>178</v>
      </c>
      <c r="B76" s="11">
        <v>0.98</v>
      </c>
    </row>
    <row r="77" spans="1:2" x14ac:dyDescent="0.25">
      <c r="A77" s="4" t="s">
        <v>227</v>
      </c>
      <c r="B77" s="11">
        <v>0.98</v>
      </c>
    </row>
    <row r="78" spans="1:2" x14ac:dyDescent="0.25">
      <c r="A78" s="4" t="s">
        <v>252</v>
      </c>
      <c r="B78" s="11">
        <v>0.91</v>
      </c>
    </row>
    <row r="79" spans="1:2" x14ac:dyDescent="0.25">
      <c r="A79" s="4" t="s">
        <v>429</v>
      </c>
      <c r="B79" s="11">
        <v>0.9</v>
      </c>
    </row>
    <row r="80" spans="1:2" x14ac:dyDescent="0.25">
      <c r="A80" s="4" t="s">
        <v>250</v>
      </c>
      <c r="B80" s="11">
        <v>0.9</v>
      </c>
    </row>
    <row r="81" spans="1:2" x14ac:dyDescent="0.25">
      <c r="A81" s="4" t="s">
        <v>305</v>
      </c>
      <c r="B81" s="11">
        <v>0.9</v>
      </c>
    </row>
    <row r="82" spans="1:2" x14ac:dyDescent="0.25">
      <c r="A82" s="4" t="s">
        <v>124</v>
      </c>
      <c r="B82" s="11">
        <v>0.89</v>
      </c>
    </row>
    <row r="83" spans="1:2" x14ac:dyDescent="0.25">
      <c r="A83" s="4" t="s">
        <v>420</v>
      </c>
      <c r="B83" s="11">
        <v>0.89</v>
      </c>
    </row>
    <row r="84" spans="1:2" x14ac:dyDescent="0.25">
      <c r="A84" s="4" t="s">
        <v>183</v>
      </c>
      <c r="B84" s="11">
        <v>0.88</v>
      </c>
    </row>
    <row r="85" spans="1:2" x14ac:dyDescent="0.25">
      <c r="A85" s="4" t="s">
        <v>315</v>
      </c>
      <c r="B85" s="11">
        <v>0.88</v>
      </c>
    </row>
    <row r="86" spans="1:2" x14ac:dyDescent="0.25">
      <c r="A86" s="4" t="s">
        <v>276</v>
      </c>
      <c r="B86" s="11">
        <v>0.87</v>
      </c>
    </row>
    <row r="87" spans="1:2" x14ac:dyDescent="0.25">
      <c r="A87" s="4" t="s">
        <v>328</v>
      </c>
      <c r="B87" s="11">
        <v>0.84</v>
      </c>
    </row>
    <row r="88" spans="1:2" x14ac:dyDescent="0.25">
      <c r="A88" s="4" t="s">
        <v>334</v>
      </c>
      <c r="B88" s="11">
        <v>0.83</v>
      </c>
    </row>
    <row r="89" spans="1:2" x14ac:dyDescent="0.25">
      <c r="A89" s="4" t="s">
        <v>129</v>
      </c>
      <c r="B89" s="11">
        <v>0.8</v>
      </c>
    </row>
    <row r="90" spans="1:2" x14ac:dyDescent="0.25">
      <c r="A90" s="4" t="s">
        <v>248</v>
      </c>
      <c r="B90" s="11">
        <v>0.77</v>
      </c>
    </row>
    <row r="91" spans="1:2" x14ac:dyDescent="0.25">
      <c r="A91" s="4" t="s">
        <v>182</v>
      </c>
      <c r="B91" s="11">
        <v>0.76</v>
      </c>
    </row>
    <row r="92" spans="1:2" x14ac:dyDescent="0.25">
      <c r="A92" s="4" t="s">
        <v>126</v>
      </c>
      <c r="B92" s="11">
        <v>0.75</v>
      </c>
    </row>
    <row r="93" spans="1:2" x14ac:dyDescent="0.25">
      <c r="A93" s="4" t="s">
        <v>384</v>
      </c>
      <c r="B93" s="11">
        <v>0.74</v>
      </c>
    </row>
    <row r="94" spans="1:2" x14ac:dyDescent="0.25">
      <c r="A94" s="4" t="s">
        <v>211</v>
      </c>
      <c r="B94" s="11">
        <v>0.74</v>
      </c>
    </row>
    <row r="95" spans="1:2" x14ac:dyDescent="0.25">
      <c r="A95" s="4" t="s">
        <v>372</v>
      </c>
      <c r="B95" s="11">
        <v>0.73</v>
      </c>
    </row>
    <row r="96" spans="1:2" x14ac:dyDescent="0.25">
      <c r="A96" s="4" t="s">
        <v>96</v>
      </c>
      <c r="B96" s="11">
        <v>0.69</v>
      </c>
    </row>
    <row r="97" spans="1:2" x14ac:dyDescent="0.25">
      <c r="A97" s="4" t="s">
        <v>424</v>
      </c>
      <c r="B97" s="11">
        <v>0.69</v>
      </c>
    </row>
    <row r="98" spans="1:2" x14ac:dyDescent="0.25">
      <c r="A98" s="4" t="s">
        <v>270</v>
      </c>
      <c r="B98" s="11">
        <v>0.66</v>
      </c>
    </row>
    <row r="99" spans="1:2" x14ac:dyDescent="0.25">
      <c r="A99" s="4" t="s">
        <v>448</v>
      </c>
      <c r="B99" s="11">
        <v>0.64</v>
      </c>
    </row>
    <row r="100" spans="1:2" x14ac:dyDescent="0.25">
      <c r="A100" s="4" t="s">
        <v>293</v>
      </c>
      <c r="B100" s="11">
        <v>0.61</v>
      </c>
    </row>
    <row r="101" spans="1:2" x14ac:dyDescent="0.25">
      <c r="A101" s="4" t="s">
        <v>9</v>
      </c>
      <c r="B101" s="11">
        <v>0.61</v>
      </c>
    </row>
    <row r="102" spans="1:2" x14ac:dyDescent="0.25">
      <c r="A102" s="4" t="s">
        <v>333</v>
      </c>
      <c r="B102" s="11">
        <v>0.6</v>
      </c>
    </row>
    <row r="103" spans="1:2" x14ac:dyDescent="0.25">
      <c r="A103" s="4" t="s">
        <v>278</v>
      </c>
      <c r="B103" s="11">
        <v>0.59</v>
      </c>
    </row>
    <row r="104" spans="1:2" x14ac:dyDescent="0.25">
      <c r="A104" s="4" t="s">
        <v>173</v>
      </c>
      <c r="B104" s="11">
        <v>0.59</v>
      </c>
    </row>
    <row r="105" spans="1:2" x14ac:dyDescent="0.25">
      <c r="A105" s="4" t="s">
        <v>349</v>
      </c>
      <c r="B105" s="11">
        <v>0.56999999999999995</v>
      </c>
    </row>
    <row r="106" spans="1:2" x14ac:dyDescent="0.25">
      <c r="A106" s="4" t="s">
        <v>59</v>
      </c>
      <c r="B106" s="11">
        <v>0.56999999999999995</v>
      </c>
    </row>
    <row r="107" spans="1:2" x14ac:dyDescent="0.25">
      <c r="A107" s="4" t="s">
        <v>115</v>
      </c>
      <c r="B107" s="11">
        <v>0.56000000000000005</v>
      </c>
    </row>
    <row r="108" spans="1:2" x14ac:dyDescent="0.25">
      <c r="A108" s="4" t="s">
        <v>11</v>
      </c>
      <c r="B108" s="11">
        <v>0.55000000000000004</v>
      </c>
    </row>
    <row r="109" spans="1:2" x14ac:dyDescent="0.25">
      <c r="A109" s="4" t="s">
        <v>287</v>
      </c>
      <c r="B109" s="11">
        <v>0.54</v>
      </c>
    </row>
    <row r="110" spans="1:2" x14ac:dyDescent="0.25">
      <c r="A110" s="4" t="s">
        <v>335</v>
      </c>
      <c r="B110" s="11">
        <v>0.54</v>
      </c>
    </row>
    <row r="111" spans="1:2" x14ac:dyDescent="0.25">
      <c r="A111" s="4" t="s">
        <v>296</v>
      </c>
      <c r="B111" s="11">
        <v>0.54</v>
      </c>
    </row>
    <row r="112" spans="1:2" x14ac:dyDescent="0.25">
      <c r="A112" s="4" t="s">
        <v>456</v>
      </c>
      <c r="B112" s="11">
        <v>0.52</v>
      </c>
    </row>
    <row r="113" spans="1:2" x14ac:dyDescent="0.25">
      <c r="A113" s="4" t="s">
        <v>423</v>
      </c>
      <c r="B113" s="11">
        <v>0.51</v>
      </c>
    </row>
    <row r="114" spans="1:2" x14ac:dyDescent="0.25">
      <c r="A114" s="4" t="s">
        <v>19</v>
      </c>
      <c r="B114" s="11">
        <v>0.51</v>
      </c>
    </row>
    <row r="115" spans="1:2" x14ac:dyDescent="0.25">
      <c r="A115" s="4" t="s">
        <v>501</v>
      </c>
      <c r="B115" s="11">
        <v>0.49</v>
      </c>
    </row>
    <row r="116" spans="1:2" x14ac:dyDescent="0.25">
      <c r="A116" s="4" t="s">
        <v>235</v>
      </c>
      <c r="B116" s="11">
        <v>0.49</v>
      </c>
    </row>
    <row r="117" spans="1:2" x14ac:dyDescent="0.25">
      <c r="A117" s="4" t="s">
        <v>313</v>
      </c>
      <c r="B117" s="11">
        <v>0.48</v>
      </c>
    </row>
    <row r="118" spans="1:2" x14ac:dyDescent="0.25">
      <c r="A118" s="4" t="s">
        <v>408</v>
      </c>
      <c r="B118" s="11">
        <v>0.48</v>
      </c>
    </row>
    <row r="119" spans="1:2" x14ac:dyDescent="0.25">
      <c r="A119" s="4" t="s">
        <v>144</v>
      </c>
      <c r="B119" s="11">
        <v>0.47</v>
      </c>
    </row>
    <row r="120" spans="1:2" x14ac:dyDescent="0.25">
      <c r="A120" s="4" t="s">
        <v>77</v>
      </c>
      <c r="B120" s="11">
        <v>0.47</v>
      </c>
    </row>
    <row r="121" spans="1:2" x14ac:dyDescent="0.25">
      <c r="A121" s="4" t="s">
        <v>524</v>
      </c>
      <c r="B121" s="11">
        <v>0.47</v>
      </c>
    </row>
    <row r="122" spans="1:2" x14ac:dyDescent="0.25">
      <c r="A122" s="4" t="s">
        <v>149</v>
      </c>
      <c r="B122" s="11">
        <v>0.46</v>
      </c>
    </row>
    <row r="123" spans="1:2" x14ac:dyDescent="0.25">
      <c r="A123" s="4" t="s">
        <v>484</v>
      </c>
      <c r="B123" s="11">
        <v>0.46</v>
      </c>
    </row>
    <row r="124" spans="1:2" x14ac:dyDescent="0.25">
      <c r="A124" s="4" t="s">
        <v>329</v>
      </c>
      <c r="B124" s="11">
        <v>0.45</v>
      </c>
    </row>
    <row r="125" spans="1:2" x14ac:dyDescent="0.25">
      <c r="A125" s="4" t="s">
        <v>70</v>
      </c>
      <c r="B125" s="11">
        <v>0.44</v>
      </c>
    </row>
    <row r="126" spans="1:2" x14ac:dyDescent="0.25">
      <c r="A126" s="4" t="s">
        <v>17</v>
      </c>
      <c r="B126" s="11">
        <v>0.44</v>
      </c>
    </row>
    <row r="127" spans="1:2" x14ac:dyDescent="0.25">
      <c r="A127" s="4" t="s">
        <v>406</v>
      </c>
      <c r="B127" s="11">
        <v>0.43</v>
      </c>
    </row>
    <row r="128" spans="1:2" x14ac:dyDescent="0.25">
      <c r="A128" s="4" t="s">
        <v>362</v>
      </c>
      <c r="B128" s="11">
        <v>0.41</v>
      </c>
    </row>
    <row r="129" spans="1:2" x14ac:dyDescent="0.25">
      <c r="A129" s="4" t="s">
        <v>473</v>
      </c>
      <c r="B129" s="11">
        <v>0.41</v>
      </c>
    </row>
    <row r="130" spans="1:2" x14ac:dyDescent="0.25">
      <c r="A130" s="4" t="s">
        <v>291</v>
      </c>
      <c r="B130" s="11">
        <v>0.38</v>
      </c>
    </row>
    <row r="131" spans="1:2" x14ac:dyDescent="0.25">
      <c r="A131" s="4" t="s">
        <v>186</v>
      </c>
      <c r="B131" s="11">
        <v>0.37</v>
      </c>
    </row>
    <row r="132" spans="1:2" x14ac:dyDescent="0.25">
      <c r="A132" s="4" t="s">
        <v>477</v>
      </c>
      <c r="B132" s="11">
        <v>0.36</v>
      </c>
    </row>
    <row r="133" spans="1:2" x14ac:dyDescent="0.25">
      <c r="A133" s="4" t="s">
        <v>365</v>
      </c>
      <c r="B133" s="11">
        <v>0.36</v>
      </c>
    </row>
    <row r="134" spans="1:2" x14ac:dyDescent="0.25">
      <c r="A134" s="4" t="s">
        <v>400</v>
      </c>
      <c r="B134" s="11">
        <v>0.35</v>
      </c>
    </row>
    <row r="135" spans="1:2" x14ac:dyDescent="0.25">
      <c r="A135" s="4" t="s">
        <v>442</v>
      </c>
      <c r="B135" s="11">
        <v>0.34</v>
      </c>
    </row>
    <row r="136" spans="1:2" x14ac:dyDescent="0.25">
      <c r="A136" s="4" t="s">
        <v>208</v>
      </c>
      <c r="B136" s="11">
        <v>0.34</v>
      </c>
    </row>
    <row r="137" spans="1:2" x14ac:dyDescent="0.25">
      <c r="A137" s="4" t="s">
        <v>464</v>
      </c>
      <c r="B137" s="11">
        <v>0.33</v>
      </c>
    </row>
    <row r="138" spans="1:2" x14ac:dyDescent="0.25">
      <c r="A138" s="4" t="s">
        <v>163</v>
      </c>
      <c r="B138" s="11">
        <v>0.33</v>
      </c>
    </row>
    <row r="139" spans="1:2" x14ac:dyDescent="0.25">
      <c r="A139" s="4" t="s">
        <v>225</v>
      </c>
      <c r="B139" s="11">
        <v>0.32</v>
      </c>
    </row>
    <row r="140" spans="1:2" x14ac:dyDescent="0.25">
      <c r="A140" s="4" t="s">
        <v>385</v>
      </c>
      <c r="B140" s="11">
        <v>0.32</v>
      </c>
    </row>
    <row r="141" spans="1:2" x14ac:dyDescent="0.25">
      <c r="A141" s="4" t="s">
        <v>430</v>
      </c>
      <c r="B141" s="11">
        <v>0.32</v>
      </c>
    </row>
    <row r="142" spans="1:2" x14ac:dyDescent="0.25">
      <c r="A142" s="4" t="s">
        <v>55</v>
      </c>
      <c r="B142" s="11">
        <v>0.31</v>
      </c>
    </row>
    <row r="143" spans="1:2" x14ac:dyDescent="0.25">
      <c r="A143" s="4" t="s">
        <v>507</v>
      </c>
      <c r="B143" s="11">
        <v>0.3</v>
      </c>
    </row>
    <row r="144" spans="1:2" x14ac:dyDescent="0.25">
      <c r="A144" s="4" t="s">
        <v>207</v>
      </c>
      <c r="B144" s="11">
        <v>0.28999999999999998</v>
      </c>
    </row>
    <row r="145" spans="1:2" x14ac:dyDescent="0.25">
      <c r="A145" s="4" t="s">
        <v>478</v>
      </c>
      <c r="B145" s="11">
        <v>0.28999999999999998</v>
      </c>
    </row>
    <row r="146" spans="1:2" x14ac:dyDescent="0.25">
      <c r="A146" s="4" t="s">
        <v>403</v>
      </c>
      <c r="B146" s="11">
        <v>0.28999999999999998</v>
      </c>
    </row>
    <row r="147" spans="1:2" x14ac:dyDescent="0.25">
      <c r="A147" s="4" t="s">
        <v>505</v>
      </c>
      <c r="B147" s="11">
        <v>0.28000000000000003</v>
      </c>
    </row>
    <row r="148" spans="1:2" x14ac:dyDescent="0.25">
      <c r="A148" s="4" t="s">
        <v>233</v>
      </c>
      <c r="B148" s="11">
        <v>0.27</v>
      </c>
    </row>
    <row r="149" spans="1:2" x14ac:dyDescent="0.25">
      <c r="A149" s="4" t="s">
        <v>201</v>
      </c>
      <c r="B149" s="11">
        <v>0.27</v>
      </c>
    </row>
    <row r="150" spans="1:2" x14ac:dyDescent="0.25">
      <c r="A150" s="4" t="s">
        <v>27</v>
      </c>
      <c r="B150" s="11">
        <v>0.27</v>
      </c>
    </row>
    <row r="151" spans="1:2" x14ac:dyDescent="0.25">
      <c r="A151" s="4" t="s">
        <v>435</v>
      </c>
      <c r="B151" s="11">
        <v>0.27</v>
      </c>
    </row>
    <row r="152" spans="1:2" x14ac:dyDescent="0.25">
      <c r="A152" s="4" t="s">
        <v>273</v>
      </c>
      <c r="B152" s="11">
        <v>0.27</v>
      </c>
    </row>
    <row r="153" spans="1:2" x14ac:dyDescent="0.25">
      <c r="A153" s="4" t="s">
        <v>367</v>
      </c>
      <c r="B153" s="11">
        <v>0.27</v>
      </c>
    </row>
    <row r="154" spans="1:2" x14ac:dyDescent="0.25">
      <c r="A154" s="4" t="s">
        <v>414</v>
      </c>
      <c r="B154" s="11">
        <v>0.25</v>
      </c>
    </row>
    <row r="155" spans="1:2" x14ac:dyDescent="0.25">
      <c r="A155" s="4" t="s">
        <v>297</v>
      </c>
      <c r="B155" s="11">
        <v>0.25</v>
      </c>
    </row>
    <row r="156" spans="1:2" x14ac:dyDescent="0.25">
      <c r="A156" s="4" t="s">
        <v>402</v>
      </c>
      <c r="B156" s="11">
        <v>0.25</v>
      </c>
    </row>
    <row r="157" spans="1:2" x14ac:dyDescent="0.25">
      <c r="A157" s="4" t="s">
        <v>324</v>
      </c>
      <c r="B157" s="11">
        <v>0.24</v>
      </c>
    </row>
    <row r="158" spans="1:2" x14ac:dyDescent="0.25">
      <c r="A158" s="4" t="s">
        <v>213</v>
      </c>
      <c r="B158" s="11">
        <v>0.24</v>
      </c>
    </row>
    <row r="159" spans="1:2" x14ac:dyDescent="0.25">
      <c r="A159" s="4" t="s">
        <v>510</v>
      </c>
      <c r="B159" s="11">
        <v>0.23</v>
      </c>
    </row>
    <row r="160" spans="1:2" x14ac:dyDescent="0.25">
      <c r="A160" s="4" t="s">
        <v>52</v>
      </c>
      <c r="B160" s="11">
        <v>0.22</v>
      </c>
    </row>
    <row r="161" spans="1:2" x14ac:dyDescent="0.25">
      <c r="A161" s="4" t="s">
        <v>306</v>
      </c>
      <c r="B161" s="11">
        <v>0.22</v>
      </c>
    </row>
    <row r="162" spans="1:2" x14ac:dyDescent="0.25">
      <c r="A162" s="4" t="s">
        <v>269</v>
      </c>
      <c r="B162" s="11">
        <v>0.21</v>
      </c>
    </row>
    <row r="163" spans="1:2" x14ac:dyDescent="0.25">
      <c r="A163" s="4" t="s">
        <v>467</v>
      </c>
      <c r="B163" s="11">
        <v>0.21</v>
      </c>
    </row>
    <row r="164" spans="1:2" x14ac:dyDescent="0.25">
      <c r="A164" s="4" t="s">
        <v>368</v>
      </c>
      <c r="B164" s="11">
        <v>0.2</v>
      </c>
    </row>
    <row r="165" spans="1:2" x14ac:dyDescent="0.25">
      <c r="A165" s="4" t="s">
        <v>378</v>
      </c>
      <c r="B165" s="11">
        <v>0.2</v>
      </c>
    </row>
    <row r="166" spans="1:2" x14ac:dyDescent="0.25">
      <c r="A166" s="4" t="s">
        <v>61</v>
      </c>
      <c r="B166" s="11">
        <v>0.2</v>
      </c>
    </row>
    <row r="167" spans="1:2" x14ac:dyDescent="0.25">
      <c r="A167" s="4" t="s">
        <v>341</v>
      </c>
      <c r="B167" s="11">
        <v>0.19</v>
      </c>
    </row>
    <row r="168" spans="1:2" x14ac:dyDescent="0.25">
      <c r="A168" s="4" t="s">
        <v>387</v>
      </c>
      <c r="B168" s="11">
        <v>0.19</v>
      </c>
    </row>
    <row r="169" spans="1:2" x14ac:dyDescent="0.25">
      <c r="A169" s="4" t="s">
        <v>513</v>
      </c>
      <c r="B169" s="11">
        <v>0.18</v>
      </c>
    </row>
    <row r="170" spans="1:2" x14ac:dyDescent="0.25">
      <c r="A170" s="4" t="s">
        <v>247</v>
      </c>
      <c r="B170" s="11">
        <v>0.18</v>
      </c>
    </row>
    <row r="171" spans="1:2" x14ac:dyDescent="0.25">
      <c r="A171" s="4" t="s">
        <v>322</v>
      </c>
      <c r="B171" s="11">
        <v>0.17</v>
      </c>
    </row>
    <row r="172" spans="1:2" x14ac:dyDescent="0.25">
      <c r="A172" s="4" t="s">
        <v>352</v>
      </c>
      <c r="B172" s="11">
        <v>0.16</v>
      </c>
    </row>
    <row r="173" spans="1:2" x14ac:dyDescent="0.25">
      <c r="A173" s="4" t="s">
        <v>259</v>
      </c>
      <c r="B173" s="11">
        <v>0.16</v>
      </c>
    </row>
    <row r="174" spans="1:2" x14ac:dyDescent="0.25">
      <c r="A174" s="4" t="s">
        <v>95</v>
      </c>
      <c r="B174" s="11">
        <v>0.15</v>
      </c>
    </row>
    <row r="175" spans="1:2" x14ac:dyDescent="0.25">
      <c r="A175" s="4" t="s">
        <v>26</v>
      </c>
      <c r="B175" s="11">
        <v>0.14000000000000001</v>
      </c>
    </row>
    <row r="176" spans="1:2" x14ac:dyDescent="0.25">
      <c r="A176" s="4" t="s">
        <v>441</v>
      </c>
      <c r="B176" s="11">
        <v>0.13</v>
      </c>
    </row>
    <row r="177" spans="1:2" x14ac:dyDescent="0.25">
      <c r="A177" s="4" t="s">
        <v>28</v>
      </c>
      <c r="B177" s="11">
        <v>0.13</v>
      </c>
    </row>
    <row r="178" spans="1:2" x14ac:dyDescent="0.25">
      <c r="A178" s="4" t="s">
        <v>340</v>
      </c>
      <c r="B178" s="11">
        <v>0.12</v>
      </c>
    </row>
    <row r="179" spans="1:2" x14ac:dyDescent="0.25">
      <c r="A179" s="4" t="s">
        <v>337</v>
      </c>
      <c r="B179" s="11">
        <v>0.12</v>
      </c>
    </row>
    <row r="180" spans="1:2" x14ac:dyDescent="0.25">
      <c r="A180" s="4" t="s">
        <v>241</v>
      </c>
      <c r="B180" s="11">
        <v>0.12</v>
      </c>
    </row>
    <row r="181" spans="1:2" x14ac:dyDescent="0.25">
      <c r="A181" s="4" t="s">
        <v>480</v>
      </c>
      <c r="B181" s="11">
        <v>0.12</v>
      </c>
    </row>
    <row r="182" spans="1:2" x14ac:dyDescent="0.25">
      <c r="A182" s="4" t="s">
        <v>519</v>
      </c>
      <c r="B182" s="11">
        <v>0.12</v>
      </c>
    </row>
    <row r="183" spans="1:2" x14ac:dyDescent="0.25">
      <c r="A183" s="4" t="s">
        <v>141</v>
      </c>
      <c r="B183" s="11">
        <v>0.11</v>
      </c>
    </row>
    <row r="184" spans="1:2" x14ac:dyDescent="0.25">
      <c r="A184" s="4" t="s">
        <v>8</v>
      </c>
      <c r="B184" s="11">
        <v>0.11</v>
      </c>
    </row>
    <row r="185" spans="1:2" x14ac:dyDescent="0.25">
      <c r="A185" s="4" t="s">
        <v>470</v>
      </c>
      <c r="B185" s="11">
        <v>0.11</v>
      </c>
    </row>
    <row r="186" spans="1:2" x14ac:dyDescent="0.25">
      <c r="A186" s="4" t="s">
        <v>102</v>
      </c>
      <c r="B186" s="11">
        <v>0.1</v>
      </c>
    </row>
    <row r="187" spans="1:2" x14ac:dyDescent="0.25">
      <c r="A187" s="4" t="s">
        <v>131</v>
      </c>
      <c r="B187" s="11">
        <v>0.1</v>
      </c>
    </row>
    <row r="188" spans="1:2" x14ac:dyDescent="0.25">
      <c r="A188" s="4" t="s">
        <v>223</v>
      </c>
      <c r="B188" s="11">
        <v>0.1</v>
      </c>
    </row>
    <row r="189" spans="1:2" x14ac:dyDescent="0.25">
      <c r="A189" s="4" t="s">
        <v>188</v>
      </c>
      <c r="B189" s="11">
        <v>0.1</v>
      </c>
    </row>
    <row r="190" spans="1:2" x14ac:dyDescent="0.25">
      <c r="A190" s="4" t="s">
        <v>321</v>
      </c>
      <c r="B190" s="11">
        <v>0.09</v>
      </c>
    </row>
    <row r="191" spans="1:2" x14ac:dyDescent="0.25">
      <c r="A191" s="4" t="s">
        <v>262</v>
      </c>
      <c r="B191" s="11">
        <v>0.09</v>
      </c>
    </row>
    <row r="192" spans="1:2" x14ac:dyDescent="0.25">
      <c r="A192" s="4" t="s">
        <v>221</v>
      </c>
      <c r="B192" s="11">
        <v>0.09</v>
      </c>
    </row>
    <row r="193" spans="1:2" x14ac:dyDescent="0.25">
      <c r="A193" s="4" t="s">
        <v>284</v>
      </c>
      <c r="B193" s="11">
        <v>0.09</v>
      </c>
    </row>
    <row r="194" spans="1:2" x14ac:dyDescent="0.25">
      <c r="A194" s="4" t="s">
        <v>511</v>
      </c>
      <c r="B194" s="11">
        <v>0.08</v>
      </c>
    </row>
    <row r="195" spans="1:2" x14ac:dyDescent="0.25">
      <c r="A195" s="4" t="s">
        <v>330</v>
      </c>
      <c r="B195" s="11">
        <v>0.08</v>
      </c>
    </row>
    <row r="196" spans="1:2" x14ac:dyDescent="0.25">
      <c r="A196" s="4" t="s">
        <v>417</v>
      </c>
      <c r="B196" s="11">
        <v>7.0000000000000007E-2</v>
      </c>
    </row>
    <row r="197" spans="1:2" x14ac:dyDescent="0.25">
      <c r="A197" s="4" t="s">
        <v>493</v>
      </c>
      <c r="B197" s="11">
        <v>7.0000000000000007E-2</v>
      </c>
    </row>
    <row r="198" spans="1:2" x14ac:dyDescent="0.25">
      <c r="A198" s="4" t="s">
        <v>413</v>
      </c>
      <c r="B198" s="11">
        <v>7.0000000000000007E-2</v>
      </c>
    </row>
    <row r="199" spans="1:2" x14ac:dyDescent="0.25">
      <c r="A199" s="4" t="s">
        <v>455</v>
      </c>
      <c r="B199" s="11">
        <v>7.0000000000000007E-2</v>
      </c>
    </row>
    <row r="200" spans="1:2" x14ac:dyDescent="0.25">
      <c r="A200" s="4" t="s">
        <v>18</v>
      </c>
      <c r="B200" s="11">
        <v>0.06</v>
      </c>
    </row>
    <row r="201" spans="1:2" x14ac:dyDescent="0.25">
      <c r="A201" s="4" t="s">
        <v>255</v>
      </c>
      <c r="B201" s="11">
        <v>0.06</v>
      </c>
    </row>
    <row r="202" spans="1:2" x14ac:dyDescent="0.25">
      <c r="A202" s="4" t="s">
        <v>401</v>
      </c>
      <c r="B202" s="11">
        <v>0.06</v>
      </c>
    </row>
    <row r="203" spans="1:2" x14ac:dyDescent="0.25">
      <c r="A203" s="4" t="s">
        <v>528</v>
      </c>
      <c r="B203" s="11">
        <v>0.05</v>
      </c>
    </row>
    <row r="204" spans="1:2" x14ac:dyDescent="0.25">
      <c r="A204" s="4" t="s">
        <v>190</v>
      </c>
      <c r="B204" s="11">
        <v>0.05</v>
      </c>
    </row>
    <row r="205" spans="1:2" x14ac:dyDescent="0.25">
      <c r="A205" s="4" t="s">
        <v>289</v>
      </c>
      <c r="B205" s="11">
        <v>0.05</v>
      </c>
    </row>
    <row r="206" spans="1:2" x14ac:dyDescent="0.25">
      <c r="A206" s="4" t="s">
        <v>246</v>
      </c>
      <c r="B206" s="11">
        <v>0.05</v>
      </c>
    </row>
    <row r="207" spans="1:2" x14ac:dyDescent="0.25">
      <c r="A207" s="4" t="s">
        <v>154</v>
      </c>
      <c r="B207" s="11">
        <v>0.05</v>
      </c>
    </row>
    <row r="208" spans="1:2" x14ac:dyDescent="0.25">
      <c r="A208" s="4" t="s">
        <v>249</v>
      </c>
      <c r="B208" s="11">
        <v>0.04</v>
      </c>
    </row>
    <row r="209" spans="1:2" x14ac:dyDescent="0.25">
      <c r="A209" s="4" t="s">
        <v>272</v>
      </c>
      <c r="B209" s="11">
        <v>0.04</v>
      </c>
    </row>
    <row r="210" spans="1:2" x14ac:dyDescent="0.25">
      <c r="A210" s="4" t="s">
        <v>311</v>
      </c>
      <c r="B210" s="11">
        <v>0.04</v>
      </c>
    </row>
    <row r="211" spans="1:2" x14ac:dyDescent="0.25">
      <c r="A211" s="4" t="s">
        <v>202</v>
      </c>
      <c r="B211" s="11">
        <v>0.03</v>
      </c>
    </row>
    <row r="212" spans="1:2" x14ac:dyDescent="0.25">
      <c r="A212" s="4" t="s">
        <v>308</v>
      </c>
      <c r="B212" s="11">
        <v>0.03</v>
      </c>
    </row>
    <row r="213" spans="1:2" x14ac:dyDescent="0.25">
      <c r="A213" s="4" t="s">
        <v>217</v>
      </c>
      <c r="B213" s="11">
        <v>0.03</v>
      </c>
    </row>
    <row r="214" spans="1:2" x14ac:dyDescent="0.25">
      <c r="A214" s="4" t="s">
        <v>359</v>
      </c>
      <c r="B214" s="11">
        <v>0.03</v>
      </c>
    </row>
    <row r="215" spans="1:2" x14ac:dyDescent="0.25">
      <c r="A215" s="4" t="s">
        <v>471</v>
      </c>
      <c r="B215" s="11">
        <v>0.02</v>
      </c>
    </row>
    <row r="216" spans="1:2" x14ac:dyDescent="0.25">
      <c r="A216" s="4" t="s">
        <v>49</v>
      </c>
      <c r="B216" s="11">
        <v>0.02</v>
      </c>
    </row>
    <row r="217" spans="1:2" x14ac:dyDescent="0.25">
      <c r="A217" s="4" t="s">
        <v>409</v>
      </c>
      <c r="B217" s="11">
        <v>0.02</v>
      </c>
    </row>
    <row r="218" spans="1:2" x14ac:dyDescent="0.25">
      <c r="A218" s="4" t="s">
        <v>460</v>
      </c>
      <c r="B218" s="11">
        <v>0.02</v>
      </c>
    </row>
    <row r="219" spans="1:2" x14ac:dyDescent="0.25">
      <c r="A219" s="4" t="s">
        <v>517</v>
      </c>
      <c r="B219" s="11">
        <v>0.02</v>
      </c>
    </row>
    <row r="220" spans="1:2" x14ac:dyDescent="0.25">
      <c r="A220" s="4" t="s">
        <v>298</v>
      </c>
      <c r="B220" s="11">
        <v>0.01</v>
      </c>
    </row>
    <row r="221" spans="1:2" x14ac:dyDescent="0.25">
      <c r="A221" s="4" t="s">
        <v>468</v>
      </c>
      <c r="B221" s="11">
        <v>0.01</v>
      </c>
    </row>
    <row r="222" spans="1:2" x14ac:dyDescent="0.25">
      <c r="A222" s="4" t="s">
        <v>130</v>
      </c>
      <c r="B222" s="11">
        <v>0</v>
      </c>
    </row>
    <row r="223" spans="1:2" x14ac:dyDescent="0.25">
      <c r="A223" s="4" t="s">
        <v>137</v>
      </c>
      <c r="B223" s="11">
        <v>0</v>
      </c>
    </row>
    <row r="224" spans="1:2" x14ac:dyDescent="0.25">
      <c r="A224" s="4" t="s">
        <v>325</v>
      </c>
      <c r="B224" s="11">
        <v>0</v>
      </c>
    </row>
    <row r="225" spans="1:2" x14ac:dyDescent="0.25">
      <c r="A225" s="4" t="s">
        <v>346</v>
      </c>
      <c r="B225" s="11">
        <v>-0.01</v>
      </c>
    </row>
    <row r="226" spans="1:2" x14ac:dyDescent="0.25">
      <c r="A226" s="4" t="s">
        <v>491</v>
      </c>
      <c r="B226" s="11">
        <v>-0.01</v>
      </c>
    </row>
    <row r="227" spans="1:2" x14ac:dyDescent="0.25">
      <c r="A227" s="4" t="s">
        <v>487</v>
      </c>
      <c r="B227" s="11">
        <v>-0.01</v>
      </c>
    </row>
    <row r="228" spans="1:2" x14ac:dyDescent="0.25">
      <c r="A228" s="4" t="s">
        <v>172</v>
      </c>
      <c r="B228" s="11">
        <v>-0.01</v>
      </c>
    </row>
    <row r="229" spans="1:2" x14ac:dyDescent="0.25">
      <c r="A229" s="4" t="s">
        <v>113</v>
      </c>
      <c r="B229" s="11">
        <v>-0.02</v>
      </c>
    </row>
    <row r="230" spans="1:2" x14ac:dyDescent="0.25">
      <c r="A230" s="4" t="s">
        <v>116</v>
      </c>
      <c r="B230" s="11">
        <v>-0.02</v>
      </c>
    </row>
    <row r="231" spans="1:2" x14ac:dyDescent="0.25">
      <c r="A231" s="4" t="s">
        <v>486</v>
      </c>
      <c r="B231" s="11">
        <v>-0.02</v>
      </c>
    </row>
    <row r="232" spans="1:2" x14ac:dyDescent="0.25">
      <c r="A232" s="4" t="s">
        <v>300</v>
      </c>
      <c r="B232" s="11">
        <v>-0.02</v>
      </c>
    </row>
    <row r="233" spans="1:2" x14ac:dyDescent="0.25">
      <c r="A233" s="4" t="s">
        <v>139</v>
      </c>
      <c r="B233" s="11">
        <v>-0.02</v>
      </c>
    </row>
    <row r="234" spans="1:2" x14ac:dyDescent="0.25">
      <c r="A234" s="4" t="s">
        <v>488</v>
      </c>
      <c r="B234" s="11">
        <v>-0.04</v>
      </c>
    </row>
    <row r="235" spans="1:2" x14ac:dyDescent="0.25">
      <c r="A235" s="4" t="s">
        <v>482</v>
      </c>
      <c r="B235" s="11">
        <v>-0.04</v>
      </c>
    </row>
    <row r="236" spans="1:2" x14ac:dyDescent="0.25">
      <c r="A236" s="4" t="s">
        <v>377</v>
      </c>
      <c r="B236" s="11">
        <v>-0.04</v>
      </c>
    </row>
    <row r="237" spans="1:2" x14ac:dyDescent="0.25">
      <c r="A237" s="4" t="s">
        <v>40</v>
      </c>
      <c r="B237" s="11">
        <v>-0.04</v>
      </c>
    </row>
    <row r="238" spans="1:2" x14ac:dyDescent="0.25">
      <c r="A238" s="4" t="s">
        <v>29</v>
      </c>
      <c r="B238" s="11">
        <v>-0.04</v>
      </c>
    </row>
    <row r="239" spans="1:2" x14ac:dyDescent="0.25">
      <c r="A239" s="4" t="s">
        <v>527</v>
      </c>
      <c r="B239" s="11">
        <v>-0.05</v>
      </c>
    </row>
    <row r="240" spans="1:2" x14ac:dyDescent="0.25">
      <c r="A240" s="4" t="s">
        <v>65</v>
      </c>
      <c r="B240" s="11">
        <v>-0.05</v>
      </c>
    </row>
    <row r="241" spans="1:2" x14ac:dyDescent="0.25">
      <c r="A241" s="4" t="s">
        <v>514</v>
      </c>
      <c r="B241" s="11">
        <v>-0.05</v>
      </c>
    </row>
    <row r="242" spans="1:2" x14ac:dyDescent="0.25">
      <c r="A242" s="4" t="s">
        <v>521</v>
      </c>
      <c r="B242" s="11">
        <v>-0.05</v>
      </c>
    </row>
    <row r="243" spans="1:2" x14ac:dyDescent="0.25">
      <c r="A243" s="4" t="s">
        <v>232</v>
      </c>
      <c r="B243" s="11">
        <v>-0.05</v>
      </c>
    </row>
    <row r="244" spans="1:2" x14ac:dyDescent="0.25">
      <c r="A244" s="4" t="s">
        <v>506</v>
      </c>
      <c r="B244" s="11">
        <v>-0.06</v>
      </c>
    </row>
    <row r="245" spans="1:2" x14ac:dyDescent="0.25">
      <c r="A245" s="4" t="s">
        <v>31</v>
      </c>
      <c r="B245" s="11">
        <v>-0.06</v>
      </c>
    </row>
    <row r="246" spans="1:2" x14ac:dyDescent="0.25">
      <c r="A246" s="4" t="s">
        <v>204</v>
      </c>
      <c r="B246" s="11">
        <v>-0.06</v>
      </c>
    </row>
    <row r="247" spans="1:2" x14ac:dyDescent="0.25">
      <c r="A247" s="4" t="s">
        <v>427</v>
      </c>
      <c r="B247" s="11">
        <v>-0.06</v>
      </c>
    </row>
    <row r="248" spans="1:2" x14ac:dyDescent="0.25">
      <c r="A248" s="4" t="s">
        <v>347</v>
      </c>
      <c r="B248" s="11">
        <v>-7.0000000000000007E-2</v>
      </c>
    </row>
    <row r="249" spans="1:2" x14ac:dyDescent="0.25">
      <c r="A249" s="4" t="s">
        <v>69</v>
      </c>
      <c r="B249" s="11">
        <v>-7.0000000000000007E-2</v>
      </c>
    </row>
    <row r="250" spans="1:2" x14ac:dyDescent="0.25">
      <c r="A250" s="4" t="s">
        <v>373</v>
      </c>
      <c r="B250" s="11">
        <v>-0.08</v>
      </c>
    </row>
    <row r="251" spans="1:2" x14ac:dyDescent="0.25">
      <c r="A251" s="4" t="s">
        <v>436</v>
      </c>
      <c r="B251" s="11">
        <v>-0.08</v>
      </c>
    </row>
    <row r="252" spans="1:2" x14ac:dyDescent="0.25">
      <c r="A252" s="4" t="s">
        <v>161</v>
      </c>
      <c r="B252" s="11">
        <v>-0.08</v>
      </c>
    </row>
    <row r="253" spans="1:2" x14ac:dyDescent="0.25">
      <c r="A253" s="4" t="s">
        <v>212</v>
      </c>
      <c r="B253" s="11">
        <v>-0.08</v>
      </c>
    </row>
    <row r="254" spans="1:2" x14ac:dyDescent="0.25">
      <c r="A254" s="4" t="s">
        <v>499</v>
      </c>
      <c r="B254" s="11">
        <v>-0.08</v>
      </c>
    </row>
    <row r="255" spans="1:2" x14ac:dyDescent="0.25">
      <c r="A255" s="4" t="s">
        <v>474</v>
      </c>
      <c r="B255" s="11">
        <v>-0.09</v>
      </c>
    </row>
    <row r="256" spans="1:2" x14ac:dyDescent="0.25">
      <c r="A256" s="4" t="s">
        <v>431</v>
      </c>
      <c r="B256" s="11">
        <v>-0.09</v>
      </c>
    </row>
    <row r="257" spans="1:2" x14ac:dyDescent="0.25">
      <c r="A257" s="4" t="s">
        <v>6</v>
      </c>
      <c r="B257" s="11">
        <v>-0.09</v>
      </c>
    </row>
    <row r="258" spans="1:2" x14ac:dyDescent="0.25">
      <c r="A258" s="4" t="s">
        <v>41</v>
      </c>
      <c r="B258" s="11">
        <v>-0.1</v>
      </c>
    </row>
    <row r="259" spans="1:2" x14ac:dyDescent="0.25">
      <c r="A259" s="4" t="s">
        <v>275</v>
      </c>
      <c r="B259" s="11">
        <v>-0.1</v>
      </c>
    </row>
    <row r="260" spans="1:2" x14ac:dyDescent="0.25">
      <c r="A260" s="4" t="s">
        <v>326</v>
      </c>
      <c r="B260" s="11">
        <v>-0.11</v>
      </c>
    </row>
    <row r="261" spans="1:2" x14ac:dyDescent="0.25">
      <c r="A261" s="4" t="s">
        <v>518</v>
      </c>
      <c r="B261" s="11">
        <v>-0.11</v>
      </c>
    </row>
    <row r="262" spans="1:2" x14ac:dyDescent="0.25">
      <c r="A262" s="4" t="s">
        <v>458</v>
      </c>
      <c r="B262" s="11">
        <v>-0.12</v>
      </c>
    </row>
    <row r="263" spans="1:2" x14ac:dyDescent="0.25">
      <c r="A263" s="4" t="s">
        <v>258</v>
      </c>
      <c r="B263" s="11">
        <v>-0.12</v>
      </c>
    </row>
    <row r="264" spans="1:2" x14ac:dyDescent="0.25">
      <c r="A264" s="4" t="s">
        <v>94</v>
      </c>
      <c r="B264" s="11">
        <v>-0.12</v>
      </c>
    </row>
    <row r="265" spans="1:2" x14ac:dyDescent="0.25">
      <c r="A265" s="4" t="s">
        <v>238</v>
      </c>
      <c r="B265" s="11">
        <v>-0.13</v>
      </c>
    </row>
    <row r="266" spans="1:2" x14ac:dyDescent="0.25">
      <c r="A266" s="4" t="s">
        <v>263</v>
      </c>
      <c r="B266" s="11">
        <v>-0.13</v>
      </c>
    </row>
    <row r="267" spans="1:2" x14ac:dyDescent="0.25">
      <c r="A267" s="4" t="s">
        <v>224</v>
      </c>
      <c r="B267" s="11">
        <v>-0.13</v>
      </c>
    </row>
    <row r="268" spans="1:2" x14ac:dyDescent="0.25">
      <c r="A268" s="4" t="s">
        <v>416</v>
      </c>
      <c r="B268" s="11">
        <v>-0.14000000000000001</v>
      </c>
    </row>
    <row r="269" spans="1:2" x14ac:dyDescent="0.25">
      <c r="A269" s="4" t="s">
        <v>301</v>
      </c>
      <c r="B269" s="11">
        <v>-0.14000000000000001</v>
      </c>
    </row>
    <row r="270" spans="1:2" x14ac:dyDescent="0.25">
      <c r="A270" s="4" t="s">
        <v>434</v>
      </c>
      <c r="B270" s="11">
        <v>-0.15</v>
      </c>
    </row>
    <row r="271" spans="1:2" x14ac:dyDescent="0.25">
      <c r="A271" s="4" t="s">
        <v>277</v>
      </c>
      <c r="B271" s="11">
        <v>-0.15</v>
      </c>
    </row>
    <row r="272" spans="1:2" x14ac:dyDescent="0.25">
      <c r="A272" s="4" t="s">
        <v>14</v>
      </c>
      <c r="B272" s="11">
        <v>-0.15</v>
      </c>
    </row>
    <row r="273" spans="1:2" x14ac:dyDescent="0.25">
      <c r="A273" s="4" t="s">
        <v>522</v>
      </c>
      <c r="B273" s="11">
        <v>-0.15</v>
      </c>
    </row>
    <row r="274" spans="1:2" x14ac:dyDescent="0.25">
      <c r="A274" s="4" t="s">
        <v>476</v>
      </c>
      <c r="B274" s="11">
        <v>-0.16</v>
      </c>
    </row>
    <row r="275" spans="1:2" x14ac:dyDescent="0.25">
      <c r="A275" s="4" t="s">
        <v>432</v>
      </c>
      <c r="B275" s="11">
        <v>-0.16</v>
      </c>
    </row>
    <row r="276" spans="1:2" x14ac:dyDescent="0.25">
      <c r="A276" s="4" t="s">
        <v>74</v>
      </c>
      <c r="B276" s="11">
        <v>-0.16</v>
      </c>
    </row>
    <row r="277" spans="1:2" x14ac:dyDescent="0.25">
      <c r="A277" s="4" t="s">
        <v>271</v>
      </c>
      <c r="B277" s="11">
        <v>-0.17</v>
      </c>
    </row>
    <row r="278" spans="1:2" x14ac:dyDescent="0.25">
      <c r="A278" s="4" t="s">
        <v>180</v>
      </c>
      <c r="B278" s="11">
        <v>-0.17</v>
      </c>
    </row>
    <row r="279" spans="1:2" x14ac:dyDescent="0.25">
      <c r="A279" s="4" t="s">
        <v>260</v>
      </c>
      <c r="B279" s="11">
        <v>-0.17</v>
      </c>
    </row>
    <row r="280" spans="1:2" x14ac:dyDescent="0.25">
      <c r="A280" s="4" t="s">
        <v>147</v>
      </c>
      <c r="B280" s="11">
        <v>-0.18</v>
      </c>
    </row>
    <row r="281" spans="1:2" x14ac:dyDescent="0.25">
      <c r="A281" s="4" t="s">
        <v>509</v>
      </c>
      <c r="B281" s="11">
        <v>-0.18</v>
      </c>
    </row>
    <row r="282" spans="1:2" x14ac:dyDescent="0.25">
      <c r="A282" s="4" t="s">
        <v>459</v>
      </c>
      <c r="B282" s="11">
        <v>-0.18</v>
      </c>
    </row>
    <row r="283" spans="1:2" x14ac:dyDescent="0.25">
      <c r="A283" s="4" t="s">
        <v>93</v>
      </c>
      <c r="B283" s="11">
        <v>-0.19</v>
      </c>
    </row>
    <row r="284" spans="1:2" x14ac:dyDescent="0.25">
      <c r="A284" s="4" t="s">
        <v>475</v>
      </c>
      <c r="B284" s="11">
        <v>-0.2</v>
      </c>
    </row>
    <row r="285" spans="1:2" x14ac:dyDescent="0.25">
      <c r="A285" s="4" t="s">
        <v>338</v>
      </c>
      <c r="B285" s="11">
        <v>-0.2</v>
      </c>
    </row>
    <row r="286" spans="1:2" x14ac:dyDescent="0.25">
      <c r="A286" s="4" t="s">
        <v>345</v>
      </c>
      <c r="B286" s="11">
        <v>-0.2</v>
      </c>
    </row>
    <row r="287" spans="1:2" x14ac:dyDescent="0.25">
      <c r="A287" s="4" t="s">
        <v>302</v>
      </c>
      <c r="B287" s="11">
        <v>-0.2</v>
      </c>
    </row>
    <row r="288" spans="1:2" x14ac:dyDescent="0.25">
      <c r="A288" s="4" t="s">
        <v>292</v>
      </c>
      <c r="B288" s="11">
        <v>-0.2</v>
      </c>
    </row>
    <row r="289" spans="1:2" x14ac:dyDescent="0.25">
      <c r="A289" s="4" t="s">
        <v>153</v>
      </c>
      <c r="B289" s="11">
        <v>-0.2</v>
      </c>
    </row>
    <row r="290" spans="1:2" x14ac:dyDescent="0.25">
      <c r="A290" s="4" t="s">
        <v>158</v>
      </c>
      <c r="B290" s="11">
        <v>-0.2</v>
      </c>
    </row>
    <row r="291" spans="1:2" x14ac:dyDescent="0.25">
      <c r="A291" s="4" t="s">
        <v>526</v>
      </c>
      <c r="B291" s="11">
        <v>-0.21</v>
      </c>
    </row>
    <row r="292" spans="1:2" x14ac:dyDescent="0.25">
      <c r="A292" s="4" t="s">
        <v>243</v>
      </c>
      <c r="B292" s="11">
        <v>-0.21</v>
      </c>
    </row>
    <row r="293" spans="1:2" x14ac:dyDescent="0.25">
      <c r="A293" s="4" t="s">
        <v>179</v>
      </c>
      <c r="B293" s="11">
        <v>-0.21</v>
      </c>
    </row>
    <row r="294" spans="1:2" x14ac:dyDescent="0.25">
      <c r="A294" s="4" t="s">
        <v>266</v>
      </c>
      <c r="B294" s="11">
        <v>-0.21</v>
      </c>
    </row>
    <row r="295" spans="1:2" x14ac:dyDescent="0.25">
      <c r="A295" s="4" t="s">
        <v>363</v>
      </c>
      <c r="B295" s="11">
        <v>-0.22</v>
      </c>
    </row>
    <row r="296" spans="1:2" x14ac:dyDescent="0.25">
      <c r="A296" s="4" t="s">
        <v>411</v>
      </c>
      <c r="B296" s="11">
        <v>-0.25</v>
      </c>
    </row>
    <row r="297" spans="1:2" x14ac:dyDescent="0.25">
      <c r="A297" s="4" t="s">
        <v>397</v>
      </c>
      <c r="B297" s="11">
        <v>-0.25</v>
      </c>
    </row>
    <row r="298" spans="1:2" x14ac:dyDescent="0.25">
      <c r="A298" s="4" t="s">
        <v>236</v>
      </c>
      <c r="B298" s="11">
        <v>-0.26</v>
      </c>
    </row>
    <row r="299" spans="1:2" x14ac:dyDescent="0.25">
      <c r="A299" s="4" t="s">
        <v>312</v>
      </c>
      <c r="B299" s="11">
        <v>-0.26</v>
      </c>
    </row>
    <row r="300" spans="1:2" x14ac:dyDescent="0.25">
      <c r="A300" s="4" t="s">
        <v>590</v>
      </c>
      <c r="B300" s="11">
        <v>-0.27</v>
      </c>
    </row>
    <row r="301" spans="1:2" x14ac:dyDescent="0.25">
      <c r="A301" s="4" t="s">
        <v>496</v>
      </c>
      <c r="B301" s="11">
        <v>-0.27</v>
      </c>
    </row>
    <row r="302" spans="1:2" x14ac:dyDescent="0.25">
      <c r="A302" s="4" t="s">
        <v>128</v>
      </c>
      <c r="B302" s="11">
        <v>-0.28999999999999998</v>
      </c>
    </row>
    <row r="303" spans="1:2" x14ac:dyDescent="0.25">
      <c r="A303" s="4" t="s">
        <v>443</v>
      </c>
      <c r="B303" s="11">
        <v>-0.28999999999999998</v>
      </c>
    </row>
    <row r="304" spans="1:2" x14ac:dyDescent="0.25">
      <c r="A304" s="4" t="s">
        <v>80</v>
      </c>
      <c r="B304" s="11">
        <v>-0.3</v>
      </c>
    </row>
    <row r="305" spans="1:2" x14ac:dyDescent="0.25">
      <c r="A305" s="4" t="s">
        <v>392</v>
      </c>
      <c r="B305" s="11">
        <v>-0.3</v>
      </c>
    </row>
    <row r="306" spans="1:2" x14ac:dyDescent="0.25">
      <c r="A306" s="4" t="s">
        <v>155</v>
      </c>
      <c r="B306" s="11">
        <v>-0.3</v>
      </c>
    </row>
    <row r="307" spans="1:2" x14ac:dyDescent="0.25">
      <c r="A307" s="4" t="s">
        <v>472</v>
      </c>
      <c r="B307" s="11">
        <v>-0.3</v>
      </c>
    </row>
    <row r="308" spans="1:2" x14ac:dyDescent="0.25">
      <c r="A308" s="4" t="s">
        <v>440</v>
      </c>
      <c r="B308" s="11">
        <v>-0.31</v>
      </c>
    </row>
    <row r="309" spans="1:2" x14ac:dyDescent="0.25">
      <c r="A309" s="4" t="s">
        <v>164</v>
      </c>
      <c r="B309" s="11">
        <v>-0.31</v>
      </c>
    </row>
    <row r="310" spans="1:2" x14ac:dyDescent="0.25">
      <c r="A310" s="4" t="s">
        <v>200</v>
      </c>
      <c r="B310" s="11">
        <v>-0.32</v>
      </c>
    </row>
    <row r="311" spans="1:2" x14ac:dyDescent="0.25">
      <c r="A311" s="4" t="s">
        <v>256</v>
      </c>
      <c r="B311" s="11">
        <v>-0.32</v>
      </c>
    </row>
    <row r="312" spans="1:2" x14ac:dyDescent="0.25">
      <c r="A312" s="4" t="s">
        <v>169</v>
      </c>
      <c r="B312" s="11">
        <v>-0.33</v>
      </c>
    </row>
    <row r="313" spans="1:2" x14ac:dyDescent="0.25">
      <c r="A313" s="4" t="s">
        <v>497</v>
      </c>
      <c r="B313" s="11">
        <v>-0.34</v>
      </c>
    </row>
    <row r="314" spans="1:2" x14ac:dyDescent="0.25">
      <c r="A314" s="4" t="s">
        <v>265</v>
      </c>
      <c r="B314" s="11">
        <v>-0.34</v>
      </c>
    </row>
    <row r="315" spans="1:2" x14ac:dyDescent="0.25">
      <c r="A315" s="4" t="s">
        <v>327</v>
      </c>
      <c r="B315" s="11">
        <v>-0.34</v>
      </c>
    </row>
    <row r="316" spans="1:2" x14ac:dyDescent="0.25">
      <c r="A316" s="4" t="s">
        <v>78</v>
      </c>
      <c r="B316" s="11">
        <v>-0.35</v>
      </c>
    </row>
    <row r="317" spans="1:2" x14ac:dyDescent="0.25">
      <c r="A317" s="4" t="s">
        <v>364</v>
      </c>
      <c r="B317" s="11">
        <v>-0.35</v>
      </c>
    </row>
    <row r="318" spans="1:2" x14ac:dyDescent="0.25">
      <c r="A318" s="4" t="s">
        <v>466</v>
      </c>
      <c r="B318" s="11">
        <v>-0.35</v>
      </c>
    </row>
    <row r="319" spans="1:2" x14ac:dyDescent="0.25">
      <c r="A319" s="4" t="s">
        <v>299</v>
      </c>
      <c r="B319" s="11">
        <v>-0.36</v>
      </c>
    </row>
    <row r="320" spans="1:2" x14ac:dyDescent="0.25">
      <c r="A320" s="4" t="s">
        <v>437</v>
      </c>
      <c r="B320" s="11">
        <v>-0.36</v>
      </c>
    </row>
    <row r="321" spans="1:2" x14ac:dyDescent="0.25">
      <c r="A321" s="4" t="s">
        <v>150</v>
      </c>
      <c r="B321" s="11">
        <v>-0.37</v>
      </c>
    </row>
    <row r="322" spans="1:2" x14ac:dyDescent="0.25">
      <c r="A322" s="4" t="s">
        <v>63</v>
      </c>
      <c r="B322" s="11">
        <v>-0.38</v>
      </c>
    </row>
    <row r="323" spans="1:2" x14ac:dyDescent="0.25">
      <c r="A323" s="4" t="s">
        <v>222</v>
      </c>
      <c r="B323" s="11">
        <v>-0.38</v>
      </c>
    </row>
    <row r="324" spans="1:2" x14ac:dyDescent="0.25">
      <c r="A324" s="4" t="s">
        <v>75</v>
      </c>
      <c r="B324" s="11">
        <v>-0.39</v>
      </c>
    </row>
    <row r="325" spans="1:2" x14ac:dyDescent="0.25">
      <c r="A325" s="4" t="s">
        <v>181</v>
      </c>
      <c r="B325" s="11">
        <v>-0.4</v>
      </c>
    </row>
    <row r="326" spans="1:2" x14ac:dyDescent="0.25">
      <c r="A326" s="4" t="s">
        <v>410</v>
      </c>
      <c r="B326" s="11">
        <v>-0.41</v>
      </c>
    </row>
    <row r="327" spans="1:2" x14ac:dyDescent="0.25">
      <c r="A327" s="4" t="s">
        <v>383</v>
      </c>
      <c r="B327" s="11">
        <v>-0.41</v>
      </c>
    </row>
    <row r="328" spans="1:2" x14ac:dyDescent="0.25">
      <c r="A328" s="4" t="s">
        <v>439</v>
      </c>
      <c r="B328" s="11">
        <v>-0.42</v>
      </c>
    </row>
    <row r="329" spans="1:2" x14ac:dyDescent="0.25">
      <c r="A329" s="4" t="s">
        <v>457</v>
      </c>
      <c r="B329" s="11">
        <v>-0.43</v>
      </c>
    </row>
    <row r="330" spans="1:2" x14ac:dyDescent="0.25">
      <c r="A330" s="4" t="s">
        <v>381</v>
      </c>
      <c r="B330" s="11">
        <v>-0.44</v>
      </c>
    </row>
    <row r="331" spans="1:2" x14ac:dyDescent="0.25">
      <c r="A331" s="4" t="s">
        <v>145</v>
      </c>
      <c r="B331" s="11">
        <v>-0.44</v>
      </c>
    </row>
    <row r="332" spans="1:2" x14ac:dyDescent="0.25">
      <c r="A332" s="4" t="s">
        <v>452</v>
      </c>
      <c r="B332" s="11">
        <v>-0.44</v>
      </c>
    </row>
    <row r="333" spans="1:2" x14ac:dyDescent="0.25">
      <c r="A333" s="4" t="s">
        <v>118</v>
      </c>
      <c r="B333" s="11">
        <v>-0.45</v>
      </c>
    </row>
    <row r="334" spans="1:2" x14ac:dyDescent="0.25">
      <c r="A334" s="4" t="s">
        <v>279</v>
      </c>
      <c r="B334" s="11">
        <v>-0.45</v>
      </c>
    </row>
    <row r="335" spans="1:2" x14ac:dyDescent="0.25">
      <c r="A335" s="4" t="s">
        <v>500</v>
      </c>
      <c r="B335" s="11">
        <v>-0.47</v>
      </c>
    </row>
    <row r="336" spans="1:2" x14ac:dyDescent="0.25">
      <c r="A336" s="4" t="s">
        <v>218</v>
      </c>
      <c r="B336" s="11">
        <v>-0.47</v>
      </c>
    </row>
    <row r="337" spans="1:2" x14ac:dyDescent="0.25">
      <c r="A337" s="4" t="s">
        <v>98</v>
      </c>
      <c r="B337" s="11">
        <v>-0.49</v>
      </c>
    </row>
    <row r="338" spans="1:2" x14ac:dyDescent="0.25">
      <c r="A338" s="4" t="s">
        <v>90</v>
      </c>
      <c r="B338" s="11">
        <v>-0.5</v>
      </c>
    </row>
    <row r="339" spans="1:2" x14ac:dyDescent="0.25">
      <c r="A339" s="4" t="s">
        <v>444</v>
      </c>
      <c r="B339" s="11">
        <v>-0.5</v>
      </c>
    </row>
    <row r="340" spans="1:2" x14ac:dyDescent="0.25">
      <c r="A340" s="4" t="s">
        <v>220</v>
      </c>
      <c r="B340" s="11">
        <v>-0.5</v>
      </c>
    </row>
    <row r="341" spans="1:2" x14ac:dyDescent="0.25">
      <c r="A341" s="4" t="s">
        <v>376</v>
      </c>
      <c r="B341" s="11">
        <v>-0.51</v>
      </c>
    </row>
    <row r="342" spans="1:2" x14ac:dyDescent="0.25">
      <c r="A342" s="4" t="s">
        <v>86</v>
      </c>
      <c r="B342" s="11">
        <v>-0.51</v>
      </c>
    </row>
    <row r="343" spans="1:2" x14ac:dyDescent="0.25">
      <c r="A343" s="4" t="s">
        <v>46</v>
      </c>
      <c r="B343" s="11">
        <v>-0.51</v>
      </c>
    </row>
    <row r="344" spans="1:2" x14ac:dyDescent="0.25">
      <c r="A344" s="4" t="s">
        <v>54</v>
      </c>
      <c r="B344" s="11">
        <v>-0.51</v>
      </c>
    </row>
    <row r="345" spans="1:2" x14ac:dyDescent="0.25">
      <c r="A345" s="4" t="s">
        <v>60</v>
      </c>
      <c r="B345" s="11">
        <v>-0.53</v>
      </c>
    </row>
    <row r="346" spans="1:2" x14ac:dyDescent="0.25">
      <c r="A346" s="4" t="s">
        <v>105</v>
      </c>
      <c r="B346" s="11">
        <v>-0.53</v>
      </c>
    </row>
    <row r="347" spans="1:2" x14ac:dyDescent="0.25">
      <c r="A347" s="4" t="s">
        <v>355</v>
      </c>
      <c r="B347" s="11">
        <v>-0.53</v>
      </c>
    </row>
    <row r="348" spans="1:2" x14ac:dyDescent="0.25">
      <c r="A348" s="4" t="s">
        <v>380</v>
      </c>
      <c r="B348" s="11">
        <v>-0.56000000000000005</v>
      </c>
    </row>
    <row r="349" spans="1:2" x14ac:dyDescent="0.25">
      <c r="A349" s="4" t="s">
        <v>386</v>
      </c>
      <c r="B349" s="11">
        <v>-0.6</v>
      </c>
    </row>
    <row r="350" spans="1:2" x14ac:dyDescent="0.25">
      <c r="A350" s="4" t="s">
        <v>515</v>
      </c>
      <c r="B350" s="11">
        <v>-0.6</v>
      </c>
    </row>
    <row r="351" spans="1:2" x14ac:dyDescent="0.25">
      <c r="A351" s="4" t="s">
        <v>412</v>
      </c>
      <c r="B351" s="11">
        <v>-0.61</v>
      </c>
    </row>
    <row r="352" spans="1:2" x14ac:dyDescent="0.25">
      <c r="A352" s="4" t="s">
        <v>112</v>
      </c>
      <c r="B352" s="11">
        <v>-0.62</v>
      </c>
    </row>
    <row r="353" spans="1:2" x14ac:dyDescent="0.25">
      <c r="A353" s="4" t="s">
        <v>447</v>
      </c>
      <c r="B353" s="11">
        <v>-0.63</v>
      </c>
    </row>
    <row r="354" spans="1:2" x14ac:dyDescent="0.25">
      <c r="A354" s="4" t="s">
        <v>268</v>
      </c>
      <c r="B354" s="11">
        <v>-0.65</v>
      </c>
    </row>
    <row r="355" spans="1:2" x14ac:dyDescent="0.25">
      <c r="A355" s="4" t="s">
        <v>257</v>
      </c>
      <c r="B355" s="11">
        <v>-0.65</v>
      </c>
    </row>
    <row r="356" spans="1:2" x14ac:dyDescent="0.25">
      <c r="A356" s="4" t="s">
        <v>479</v>
      </c>
      <c r="B356" s="11">
        <v>-0.66</v>
      </c>
    </row>
    <row r="357" spans="1:2" x14ac:dyDescent="0.25">
      <c r="A357" s="4" t="s">
        <v>314</v>
      </c>
      <c r="B357" s="11">
        <v>-0.68</v>
      </c>
    </row>
    <row r="358" spans="1:2" x14ac:dyDescent="0.25">
      <c r="A358" s="4" t="s">
        <v>209</v>
      </c>
      <c r="B358" s="11">
        <v>-0.69</v>
      </c>
    </row>
    <row r="359" spans="1:2" x14ac:dyDescent="0.25">
      <c r="A359" s="4" t="s">
        <v>449</v>
      </c>
      <c r="B359" s="11">
        <v>-0.71</v>
      </c>
    </row>
    <row r="360" spans="1:2" x14ac:dyDescent="0.25">
      <c r="A360" s="4" t="s">
        <v>463</v>
      </c>
      <c r="B360" s="11">
        <v>-0.74</v>
      </c>
    </row>
    <row r="361" spans="1:2" x14ac:dyDescent="0.25">
      <c r="A361" s="4" t="s">
        <v>160</v>
      </c>
      <c r="B361" s="11">
        <v>-0.75</v>
      </c>
    </row>
    <row r="362" spans="1:2" x14ac:dyDescent="0.25">
      <c r="A362" s="4" t="s">
        <v>191</v>
      </c>
      <c r="B362" s="11">
        <v>-0.76</v>
      </c>
    </row>
    <row r="363" spans="1:2" x14ac:dyDescent="0.25">
      <c r="A363" s="4" t="s">
        <v>353</v>
      </c>
      <c r="B363" s="11">
        <v>-0.77</v>
      </c>
    </row>
    <row r="364" spans="1:2" x14ac:dyDescent="0.25">
      <c r="A364" s="4" t="s">
        <v>490</v>
      </c>
      <c r="B364" s="11">
        <v>-0.77</v>
      </c>
    </row>
    <row r="365" spans="1:2" x14ac:dyDescent="0.25">
      <c r="A365" s="4" t="s">
        <v>240</v>
      </c>
      <c r="B365" s="11">
        <v>-0.78</v>
      </c>
    </row>
    <row r="366" spans="1:2" x14ac:dyDescent="0.25">
      <c r="A366" s="4" t="s">
        <v>516</v>
      </c>
      <c r="B366" s="11">
        <v>-0.8</v>
      </c>
    </row>
    <row r="367" spans="1:2" x14ac:dyDescent="0.25">
      <c r="A367" s="4" t="s">
        <v>433</v>
      </c>
      <c r="B367" s="11">
        <v>-0.8</v>
      </c>
    </row>
    <row r="368" spans="1:2" x14ac:dyDescent="0.25">
      <c r="A368" s="4" t="s">
        <v>100</v>
      </c>
      <c r="B368" s="11">
        <v>-0.81</v>
      </c>
    </row>
    <row r="369" spans="1:2" x14ac:dyDescent="0.25">
      <c r="A369" s="4" t="s">
        <v>43</v>
      </c>
      <c r="B369" s="11">
        <v>-0.82</v>
      </c>
    </row>
    <row r="370" spans="1:2" x14ac:dyDescent="0.25">
      <c r="A370" s="4" t="s">
        <v>494</v>
      </c>
      <c r="B370" s="11">
        <v>-0.83</v>
      </c>
    </row>
    <row r="371" spans="1:2" x14ac:dyDescent="0.25">
      <c r="A371" s="4" t="s">
        <v>339</v>
      </c>
      <c r="B371" s="11">
        <v>-0.84</v>
      </c>
    </row>
    <row r="372" spans="1:2" x14ac:dyDescent="0.25">
      <c r="A372" s="4" t="s">
        <v>318</v>
      </c>
      <c r="B372" s="11">
        <v>-0.85</v>
      </c>
    </row>
    <row r="373" spans="1:2" x14ac:dyDescent="0.25">
      <c r="A373" s="4" t="s">
        <v>48</v>
      </c>
      <c r="B373" s="11">
        <v>-0.86</v>
      </c>
    </row>
    <row r="374" spans="1:2" x14ac:dyDescent="0.25">
      <c r="A374" s="4" t="s">
        <v>512</v>
      </c>
      <c r="B374" s="11">
        <v>-0.9</v>
      </c>
    </row>
    <row r="375" spans="1:2" x14ac:dyDescent="0.25">
      <c r="A375" s="4" t="s">
        <v>317</v>
      </c>
      <c r="B375" s="11">
        <v>-0.91</v>
      </c>
    </row>
    <row r="376" spans="1:2" x14ac:dyDescent="0.25">
      <c r="A376" s="4" t="s">
        <v>203</v>
      </c>
      <c r="B376" s="11">
        <v>-0.91</v>
      </c>
    </row>
    <row r="377" spans="1:2" x14ac:dyDescent="0.25">
      <c r="A377" s="4" t="s">
        <v>81</v>
      </c>
      <c r="B377" s="11">
        <v>-0.91</v>
      </c>
    </row>
    <row r="378" spans="1:2" x14ac:dyDescent="0.25">
      <c r="A378" s="4" t="s">
        <v>25</v>
      </c>
      <c r="B378" s="11">
        <v>-0.91</v>
      </c>
    </row>
    <row r="379" spans="1:2" x14ac:dyDescent="0.25">
      <c r="A379" s="4" t="s">
        <v>454</v>
      </c>
      <c r="B379" s="11">
        <v>-0.93</v>
      </c>
    </row>
    <row r="380" spans="1:2" x14ac:dyDescent="0.25">
      <c r="A380" s="4" t="s">
        <v>87</v>
      </c>
      <c r="B380" s="11">
        <v>-0.93</v>
      </c>
    </row>
    <row r="381" spans="1:2" x14ac:dyDescent="0.25">
      <c r="A381" s="4" t="s">
        <v>56</v>
      </c>
      <c r="B381" s="11">
        <v>-0.95</v>
      </c>
    </row>
    <row r="382" spans="1:2" x14ac:dyDescent="0.25">
      <c r="A382" s="4" t="s">
        <v>189</v>
      </c>
      <c r="B382" s="11">
        <v>-0.96</v>
      </c>
    </row>
    <row r="383" spans="1:2" x14ac:dyDescent="0.25">
      <c r="A383" s="4" t="s">
        <v>469</v>
      </c>
      <c r="B383" s="11">
        <v>-0.98</v>
      </c>
    </row>
    <row r="384" spans="1:2" x14ac:dyDescent="0.25">
      <c r="A384" s="4" t="s">
        <v>498</v>
      </c>
      <c r="B384" s="11">
        <v>-1.02</v>
      </c>
    </row>
    <row r="385" spans="1:2" x14ac:dyDescent="0.25">
      <c r="A385" s="4" t="s">
        <v>274</v>
      </c>
      <c r="B385" s="11">
        <v>-1.03</v>
      </c>
    </row>
    <row r="386" spans="1:2" x14ac:dyDescent="0.25">
      <c r="A386" s="4" t="s">
        <v>133</v>
      </c>
      <c r="B386" s="11">
        <v>-1.03</v>
      </c>
    </row>
    <row r="387" spans="1:2" x14ac:dyDescent="0.25">
      <c r="A387" s="4" t="s">
        <v>170</v>
      </c>
      <c r="B387" s="11">
        <v>-1.04</v>
      </c>
    </row>
    <row r="388" spans="1:2" x14ac:dyDescent="0.25">
      <c r="A388" s="4" t="s">
        <v>591</v>
      </c>
      <c r="B388" s="11">
        <v>-1.08</v>
      </c>
    </row>
    <row r="389" spans="1:2" x14ac:dyDescent="0.25">
      <c r="A389" s="4" t="s">
        <v>399</v>
      </c>
      <c r="B389" s="11">
        <v>-1.0900000000000001</v>
      </c>
    </row>
    <row r="390" spans="1:2" x14ac:dyDescent="0.25">
      <c r="A390" s="4" t="s">
        <v>320</v>
      </c>
      <c r="B390" s="11">
        <v>-1.0900000000000001</v>
      </c>
    </row>
    <row r="391" spans="1:2" x14ac:dyDescent="0.25">
      <c r="A391" s="4" t="s">
        <v>261</v>
      </c>
      <c r="B391" s="11">
        <v>-1.1000000000000001</v>
      </c>
    </row>
    <row r="392" spans="1:2" x14ac:dyDescent="0.25">
      <c r="A392" s="4" t="s">
        <v>356</v>
      </c>
      <c r="B392" s="11">
        <v>-1.1100000000000001</v>
      </c>
    </row>
    <row r="393" spans="1:2" x14ac:dyDescent="0.25">
      <c r="A393" s="4" t="s">
        <v>503</v>
      </c>
      <c r="B393" s="11">
        <v>-1.1200000000000001</v>
      </c>
    </row>
    <row r="394" spans="1:2" x14ac:dyDescent="0.25">
      <c r="A394" s="4" t="s">
        <v>428</v>
      </c>
      <c r="B394" s="11">
        <v>-1.1200000000000001</v>
      </c>
    </row>
    <row r="395" spans="1:2" x14ac:dyDescent="0.25">
      <c r="A395" s="4" t="s">
        <v>391</v>
      </c>
      <c r="B395" s="11">
        <v>-1.1399999999999999</v>
      </c>
    </row>
    <row r="396" spans="1:2" x14ac:dyDescent="0.25">
      <c r="A396" s="4" t="s">
        <v>295</v>
      </c>
      <c r="B396" s="11">
        <v>-1.1399999999999999</v>
      </c>
    </row>
    <row r="397" spans="1:2" x14ac:dyDescent="0.25">
      <c r="A397" s="4" t="s">
        <v>67</v>
      </c>
      <c r="B397" s="11">
        <v>-1.17</v>
      </c>
    </row>
    <row r="398" spans="1:2" x14ac:dyDescent="0.25">
      <c r="A398" s="4" t="s">
        <v>121</v>
      </c>
      <c r="B398" s="11">
        <v>-1.18</v>
      </c>
    </row>
    <row r="399" spans="1:2" x14ac:dyDescent="0.25">
      <c r="A399" s="4" t="s">
        <v>343</v>
      </c>
      <c r="B399" s="11">
        <v>-1.2</v>
      </c>
    </row>
    <row r="400" spans="1:2" x14ac:dyDescent="0.25">
      <c r="A400" s="4" t="s">
        <v>68</v>
      </c>
      <c r="B400" s="11">
        <v>-1.2</v>
      </c>
    </row>
    <row r="401" spans="1:2" x14ac:dyDescent="0.25">
      <c r="A401" s="4" t="s">
        <v>358</v>
      </c>
      <c r="B401" s="11">
        <v>-1.2</v>
      </c>
    </row>
    <row r="402" spans="1:2" x14ac:dyDescent="0.25">
      <c r="A402" s="4" t="s">
        <v>108</v>
      </c>
      <c r="B402" s="11">
        <v>-1.21</v>
      </c>
    </row>
    <row r="403" spans="1:2" x14ac:dyDescent="0.25">
      <c r="A403" s="4" t="s">
        <v>175</v>
      </c>
      <c r="B403" s="11">
        <v>-1.21</v>
      </c>
    </row>
    <row r="404" spans="1:2" x14ac:dyDescent="0.25">
      <c r="A404" s="4" t="s">
        <v>462</v>
      </c>
      <c r="B404" s="11">
        <v>-1.23</v>
      </c>
    </row>
    <row r="405" spans="1:2" x14ac:dyDescent="0.25">
      <c r="A405" s="4" t="s">
        <v>369</v>
      </c>
      <c r="B405" s="11">
        <v>-1.23</v>
      </c>
    </row>
    <row r="406" spans="1:2" x14ac:dyDescent="0.25">
      <c r="A406" s="4" t="s">
        <v>286</v>
      </c>
      <c r="B406" s="11">
        <v>-1.24</v>
      </c>
    </row>
    <row r="407" spans="1:2" x14ac:dyDescent="0.25">
      <c r="A407" s="4" t="s">
        <v>371</v>
      </c>
      <c r="B407" s="11">
        <v>-1.25</v>
      </c>
    </row>
    <row r="408" spans="1:2" x14ac:dyDescent="0.25">
      <c r="A408" s="4" t="s">
        <v>117</v>
      </c>
      <c r="B408" s="11">
        <v>-1.26</v>
      </c>
    </row>
    <row r="409" spans="1:2" x14ac:dyDescent="0.25">
      <c r="A409" s="4" t="s">
        <v>485</v>
      </c>
      <c r="B409" s="11">
        <v>-1.27</v>
      </c>
    </row>
    <row r="410" spans="1:2" x14ac:dyDescent="0.25">
      <c r="A410" s="4" t="s">
        <v>97</v>
      </c>
      <c r="B410" s="11">
        <v>-1.28</v>
      </c>
    </row>
    <row r="411" spans="1:2" x14ac:dyDescent="0.25">
      <c r="A411" s="4" t="s">
        <v>304</v>
      </c>
      <c r="B411" s="11">
        <v>-1.31</v>
      </c>
    </row>
    <row r="412" spans="1:2" x14ac:dyDescent="0.25">
      <c r="A412" s="4" t="s">
        <v>395</v>
      </c>
      <c r="B412" s="11">
        <v>-1.31</v>
      </c>
    </row>
    <row r="413" spans="1:2" x14ac:dyDescent="0.25">
      <c r="A413" s="4" t="s">
        <v>195</v>
      </c>
      <c r="B413" s="11">
        <v>-1.33</v>
      </c>
    </row>
    <row r="414" spans="1:2" x14ac:dyDescent="0.25">
      <c r="A414" s="4" t="s">
        <v>520</v>
      </c>
      <c r="B414" s="11">
        <v>-1.34</v>
      </c>
    </row>
    <row r="415" spans="1:2" x14ac:dyDescent="0.25">
      <c r="A415" s="4" t="s">
        <v>336</v>
      </c>
      <c r="B415" s="11">
        <v>-1.34</v>
      </c>
    </row>
    <row r="416" spans="1:2" x14ac:dyDescent="0.25">
      <c r="A416" s="4" t="s">
        <v>405</v>
      </c>
      <c r="B416" s="11">
        <v>-1.42</v>
      </c>
    </row>
    <row r="417" spans="1:2" x14ac:dyDescent="0.25">
      <c r="A417" s="4" t="s">
        <v>151</v>
      </c>
      <c r="B417" s="11">
        <v>-1.43</v>
      </c>
    </row>
    <row r="418" spans="1:2" x14ac:dyDescent="0.25">
      <c r="A418" s="4" t="s">
        <v>281</v>
      </c>
      <c r="B418" s="11">
        <v>-1.47</v>
      </c>
    </row>
    <row r="419" spans="1:2" x14ac:dyDescent="0.25">
      <c r="A419" s="4" t="s">
        <v>132</v>
      </c>
      <c r="B419" s="11">
        <v>-1.49</v>
      </c>
    </row>
    <row r="420" spans="1:2" x14ac:dyDescent="0.25">
      <c r="A420" s="4" t="s">
        <v>294</v>
      </c>
      <c r="B420" s="11">
        <v>-1.51</v>
      </c>
    </row>
    <row r="421" spans="1:2" x14ac:dyDescent="0.25">
      <c r="A421" s="4" t="s">
        <v>50</v>
      </c>
      <c r="B421" s="11">
        <v>-1.52</v>
      </c>
    </row>
    <row r="422" spans="1:2" x14ac:dyDescent="0.25">
      <c r="A422" s="4" t="s">
        <v>489</v>
      </c>
      <c r="B422" s="11">
        <v>-1.52</v>
      </c>
    </row>
    <row r="423" spans="1:2" x14ac:dyDescent="0.25">
      <c r="A423" s="4" t="s">
        <v>125</v>
      </c>
      <c r="B423" s="11">
        <v>-1.53</v>
      </c>
    </row>
    <row r="424" spans="1:2" x14ac:dyDescent="0.25">
      <c r="A424" s="4" t="s">
        <v>332</v>
      </c>
      <c r="B424" s="11">
        <v>-1.55</v>
      </c>
    </row>
    <row r="425" spans="1:2" x14ac:dyDescent="0.25">
      <c r="A425" s="4" t="s">
        <v>283</v>
      </c>
      <c r="B425" s="11">
        <v>-1.56</v>
      </c>
    </row>
    <row r="426" spans="1:2" x14ac:dyDescent="0.25">
      <c r="A426" s="4" t="s">
        <v>425</v>
      </c>
      <c r="B426" s="11">
        <v>-1.57</v>
      </c>
    </row>
    <row r="427" spans="1:2" x14ac:dyDescent="0.25">
      <c r="A427" s="4" t="s">
        <v>16</v>
      </c>
      <c r="B427" s="11">
        <v>-1.59</v>
      </c>
    </row>
    <row r="428" spans="1:2" x14ac:dyDescent="0.25">
      <c r="A428" s="4" t="s">
        <v>226</v>
      </c>
      <c r="B428" s="11">
        <v>-1.6</v>
      </c>
    </row>
    <row r="429" spans="1:2" x14ac:dyDescent="0.25">
      <c r="A429" s="4" t="s">
        <v>389</v>
      </c>
      <c r="B429" s="11">
        <v>-1.65</v>
      </c>
    </row>
    <row r="430" spans="1:2" x14ac:dyDescent="0.25">
      <c r="A430" s="4" t="s">
        <v>135</v>
      </c>
      <c r="B430" s="11">
        <v>-1.69</v>
      </c>
    </row>
    <row r="431" spans="1:2" x14ac:dyDescent="0.25">
      <c r="A431" s="4" t="s">
        <v>390</v>
      </c>
      <c r="B431" s="11">
        <v>-1.72</v>
      </c>
    </row>
    <row r="432" spans="1:2" x14ac:dyDescent="0.25">
      <c r="A432" s="4" t="s">
        <v>254</v>
      </c>
      <c r="B432" s="11">
        <v>-1.77</v>
      </c>
    </row>
    <row r="433" spans="1:2" x14ac:dyDescent="0.25">
      <c r="A433" s="4" t="s">
        <v>303</v>
      </c>
      <c r="B433" s="11">
        <v>-1.82</v>
      </c>
    </row>
    <row r="434" spans="1:2" x14ac:dyDescent="0.25">
      <c r="A434" s="4" t="s">
        <v>39</v>
      </c>
      <c r="B434" s="11">
        <v>-1.83</v>
      </c>
    </row>
    <row r="435" spans="1:2" x14ac:dyDescent="0.25">
      <c r="A435" s="4" t="s">
        <v>451</v>
      </c>
      <c r="B435" s="11">
        <v>-1.86</v>
      </c>
    </row>
    <row r="436" spans="1:2" x14ac:dyDescent="0.25">
      <c r="A436" s="4" t="s">
        <v>523</v>
      </c>
      <c r="B436" s="11">
        <v>-1.88</v>
      </c>
    </row>
    <row r="437" spans="1:2" x14ac:dyDescent="0.25">
      <c r="A437" s="4" t="s">
        <v>229</v>
      </c>
      <c r="B437" s="11">
        <v>-1.92</v>
      </c>
    </row>
    <row r="438" spans="1:2" x14ac:dyDescent="0.25">
      <c r="A438" s="4" t="s">
        <v>253</v>
      </c>
      <c r="B438" s="11">
        <v>-1.92</v>
      </c>
    </row>
    <row r="439" spans="1:2" x14ac:dyDescent="0.25">
      <c r="A439" s="4" t="s">
        <v>138</v>
      </c>
      <c r="B439" s="11">
        <v>-1.93</v>
      </c>
    </row>
    <row r="440" spans="1:2" x14ac:dyDescent="0.25">
      <c r="A440" s="4" t="s">
        <v>316</v>
      </c>
      <c r="B440" s="11">
        <v>-1.99</v>
      </c>
    </row>
    <row r="441" spans="1:2" x14ac:dyDescent="0.25">
      <c r="A441" s="4" t="s">
        <v>388</v>
      </c>
      <c r="B441" s="11">
        <v>-2</v>
      </c>
    </row>
    <row r="442" spans="1:2" x14ac:dyDescent="0.25">
      <c r="A442" s="4" t="s">
        <v>193</v>
      </c>
      <c r="B442" s="11">
        <v>-2.04</v>
      </c>
    </row>
    <row r="443" spans="1:2" x14ac:dyDescent="0.25">
      <c r="A443" s="4" t="s">
        <v>219</v>
      </c>
      <c r="B443" s="11">
        <v>-2.06</v>
      </c>
    </row>
    <row r="444" spans="1:2" x14ac:dyDescent="0.25">
      <c r="A444" s="4" t="s">
        <v>85</v>
      </c>
      <c r="B444" s="11">
        <v>-2.0699999999999998</v>
      </c>
    </row>
    <row r="445" spans="1:2" x14ac:dyDescent="0.25">
      <c r="A445" s="4" t="s">
        <v>525</v>
      </c>
      <c r="B445" s="11">
        <v>-2.0699999999999998</v>
      </c>
    </row>
    <row r="446" spans="1:2" x14ac:dyDescent="0.25">
      <c r="A446" s="4" t="s">
        <v>84</v>
      </c>
      <c r="B446" s="11">
        <v>-2.08</v>
      </c>
    </row>
    <row r="447" spans="1:2" x14ac:dyDescent="0.25">
      <c r="A447" s="4" t="s">
        <v>450</v>
      </c>
      <c r="B447" s="11">
        <v>-2.12</v>
      </c>
    </row>
    <row r="448" spans="1:2" x14ac:dyDescent="0.25">
      <c r="A448" s="4" t="s">
        <v>351</v>
      </c>
      <c r="B448" s="11">
        <v>-2.1800000000000002</v>
      </c>
    </row>
    <row r="449" spans="1:2" x14ac:dyDescent="0.25">
      <c r="A449" s="4" t="s">
        <v>481</v>
      </c>
      <c r="B449" s="11">
        <v>-2.19</v>
      </c>
    </row>
    <row r="450" spans="1:2" x14ac:dyDescent="0.25">
      <c r="A450" s="4" t="s">
        <v>237</v>
      </c>
      <c r="B450" s="11">
        <v>-2.21</v>
      </c>
    </row>
    <row r="451" spans="1:2" x14ac:dyDescent="0.25">
      <c r="A451" s="4" t="s">
        <v>350</v>
      </c>
      <c r="B451" s="11">
        <v>-2.25</v>
      </c>
    </row>
    <row r="452" spans="1:2" x14ac:dyDescent="0.25">
      <c r="A452" s="4" t="s">
        <v>508</v>
      </c>
      <c r="B452" s="11">
        <v>-2.35</v>
      </c>
    </row>
    <row r="453" spans="1:2" x14ac:dyDescent="0.25">
      <c r="A453" s="4" t="s">
        <v>20</v>
      </c>
      <c r="B453" s="11">
        <v>-2.4900000000000002</v>
      </c>
    </row>
    <row r="454" spans="1:2" x14ac:dyDescent="0.25">
      <c r="A454" s="4" t="s">
        <v>309</v>
      </c>
      <c r="B454" s="11">
        <v>-2.52</v>
      </c>
    </row>
    <row r="455" spans="1:2" x14ac:dyDescent="0.25">
      <c r="A455" s="4" t="s">
        <v>422</v>
      </c>
      <c r="B455" s="11">
        <v>-2.6</v>
      </c>
    </row>
    <row r="456" spans="1:2" x14ac:dyDescent="0.25">
      <c r="A456" s="4" t="s">
        <v>62</v>
      </c>
      <c r="B456" s="11">
        <v>-2.61</v>
      </c>
    </row>
    <row r="457" spans="1:2" x14ac:dyDescent="0.25">
      <c r="A457" s="4" t="s">
        <v>119</v>
      </c>
      <c r="B457" s="11">
        <v>-2.67</v>
      </c>
    </row>
    <row r="458" spans="1:2" x14ac:dyDescent="0.25">
      <c r="A458" s="4" t="s">
        <v>111</v>
      </c>
      <c r="B458" s="11">
        <v>-2.96</v>
      </c>
    </row>
    <row r="459" spans="1:2" x14ac:dyDescent="0.25">
      <c r="A459" s="4" t="s">
        <v>196</v>
      </c>
      <c r="B459" s="11">
        <v>-3.01</v>
      </c>
    </row>
    <row r="460" spans="1:2" x14ac:dyDescent="0.25">
      <c r="A460" s="4" t="s">
        <v>45</v>
      </c>
      <c r="B460" s="11">
        <v>-3.22</v>
      </c>
    </row>
    <row r="461" spans="1:2" x14ac:dyDescent="0.25">
      <c r="A461" s="4" t="s">
        <v>307</v>
      </c>
      <c r="B461" s="11">
        <v>-3.22</v>
      </c>
    </row>
    <row r="462" spans="1:2" x14ac:dyDescent="0.25">
      <c r="A462" s="4" t="s">
        <v>234</v>
      </c>
      <c r="B462" s="11">
        <v>-3.23</v>
      </c>
    </row>
    <row r="463" spans="1:2" x14ac:dyDescent="0.25">
      <c r="A463" s="4" t="s">
        <v>280</v>
      </c>
      <c r="B463" s="11">
        <v>-3.26</v>
      </c>
    </row>
    <row r="464" spans="1:2" x14ac:dyDescent="0.25">
      <c r="A464" s="4" t="s">
        <v>310</v>
      </c>
      <c r="B464" s="11">
        <v>-3.37</v>
      </c>
    </row>
    <row r="465" spans="1:2" x14ac:dyDescent="0.25">
      <c r="A465" s="4" t="s">
        <v>354</v>
      </c>
      <c r="B465" s="11">
        <v>-3.48</v>
      </c>
    </row>
    <row r="466" spans="1:2" x14ac:dyDescent="0.25">
      <c r="A466" s="4" t="s">
        <v>453</v>
      </c>
      <c r="B466" s="11">
        <v>-3.52</v>
      </c>
    </row>
    <row r="467" spans="1:2" x14ac:dyDescent="0.25">
      <c r="A467" s="4" t="s">
        <v>76</v>
      </c>
      <c r="B467" s="11">
        <v>-3.55</v>
      </c>
    </row>
    <row r="468" spans="1:2" x14ac:dyDescent="0.25">
      <c r="A468" s="4" t="s">
        <v>168</v>
      </c>
      <c r="B468" s="11">
        <v>-3.73</v>
      </c>
    </row>
    <row r="469" spans="1:2" x14ac:dyDescent="0.25">
      <c r="A469" s="4" t="s">
        <v>176</v>
      </c>
      <c r="B469" s="11">
        <v>-3.82</v>
      </c>
    </row>
    <row r="470" spans="1:2" x14ac:dyDescent="0.25">
      <c r="A470" s="4" t="s">
        <v>205</v>
      </c>
      <c r="B470" s="11">
        <v>-3.94</v>
      </c>
    </row>
    <row r="471" spans="1:2" x14ac:dyDescent="0.25">
      <c r="A471" s="4" t="s">
        <v>109</v>
      </c>
      <c r="B471" s="11">
        <v>-4.03</v>
      </c>
    </row>
    <row r="472" spans="1:2" x14ac:dyDescent="0.25">
      <c r="A472" s="4" t="s">
        <v>143</v>
      </c>
      <c r="B472" s="11">
        <v>-4.08</v>
      </c>
    </row>
    <row r="473" spans="1:2" x14ac:dyDescent="0.25">
      <c r="A473" s="4" t="s">
        <v>215</v>
      </c>
      <c r="B473" s="11">
        <v>-4.18</v>
      </c>
    </row>
    <row r="474" spans="1:2" x14ac:dyDescent="0.25">
      <c r="A474" s="4" t="s">
        <v>344</v>
      </c>
      <c r="B474" s="11">
        <v>-4.28</v>
      </c>
    </row>
    <row r="475" spans="1:2" x14ac:dyDescent="0.25">
      <c r="A475" s="4" t="s">
        <v>288</v>
      </c>
      <c r="B475" s="11">
        <v>-4.38</v>
      </c>
    </row>
    <row r="476" spans="1:2" x14ac:dyDescent="0.25">
      <c r="A476" s="4" t="s">
        <v>504</v>
      </c>
      <c r="B476" s="11">
        <v>-4.57</v>
      </c>
    </row>
    <row r="477" spans="1:2" x14ac:dyDescent="0.25">
      <c r="A477" s="4" t="s">
        <v>104</v>
      </c>
      <c r="B477" s="11">
        <v>-4.59</v>
      </c>
    </row>
    <row r="478" spans="1:2" x14ac:dyDescent="0.25">
      <c r="A478" s="4" t="s">
        <v>446</v>
      </c>
      <c r="B478" s="11">
        <v>-4.63</v>
      </c>
    </row>
    <row r="479" spans="1:2" x14ac:dyDescent="0.25">
      <c r="A479" s="4" t="s">
        <v>357</v>
      </c>
      <c r="B479" s="11">
        <v>-4.71</v>
      </c>
    </row>
    <row r="480" spans="1:2" x14ac:dyDescent="0.25">
      <c r="A480" s="4" t="s">
        <v>404</v>
      </c>
      <c r="B480" s="11">
        <v>-4.78</v>
      </c>
    </row>
    <row r="481" spans="1:2" x14ac:dyDescent="0.25">
      <c r="A481" s="4" t="s">
        <v>483</v>
      </c>
      <c r="B481" s="11">
        <v>-4.83</v>
      </c>
    </row>
    <row r="482" spans="1:2" x14ac:dyDescent="0.25">
      <c r="A482" s="4" t="s">
        <v>83</v>
      </c>
      <c r="B482" s="11">
        <v>-5.03</v>
      </c>
    </row>
    <row r="483" spans="1:2" x14ac:dyDescent="0.25">
      <c r="A483" s="4" t="s">
        <v>199</v>
      </c>
      <c r="B483" s="11">
        <v>-5.29</v>
      </c>
    </row>
    <row r="484" spans="1:2" x14ac:dyDescent="0.25">
      <c r="A484" s="4" t="s">
        <v>165</v>
      </c>
      <c r="B484" s="11">
        <v>-5.59</v>
      </c>
    </row>
    <row r="485" spans="1:2" x14ac:dyDescent="0.25">
      <c r="A485" s="4" t="s">
        <v>82</v>
      </c>
      <c r="B485" s="11">
        <v>-5.69</v>
      </c>
    </row>
    <row r="486" spans="1:2" x14ac:dyDescent="0.25">
      <c r="A486" s="4" t="s">
        <v>282</v>
      </c>
      <c r="B486" s="11">
        <v>-5.75</v>
      </c>
    </row>
    <row r="487" spans="1:2" x14ac:dyDescent="0.25">
      <c r="A487" s="4" t="s">
        <v>393</v>
      </c>
      <c r="B487" s="11">
        <v>-5.77</v>
      </c>
    </row>
    <row r="488" spans="1:2" x14ac:dyDescent="0.25">
      <c r="A488" s="4" t="s">
        <v>285</v>
      </c>
      <c r="B488" s="11">
        <v>-5.98</v>
      </c>
    </row>
    <row r="489" spans="1:2" x14ac:dyDescent="0.25">
      <c r="A489" s="4" t="s">
        <v>136</v>
      </c>
      <c r="B489" s="11">
        <v>-6.04</v>
      </c>
    </row>
    <row r="490" spans="1:2" x14ac:dyDescent="0.25">
      <c r="A490" s="4" t="s">
        <v>66</v>
      </c>
      <c r="B490" s="11">
        <v>-6.13</v>
      </c>
    </row>
    <row r="491" spans="1:2" x14ac:dyDescent="0.25">
      <c r="A491" s="4" t="s">
        <v>12</v>
      </c>
      <c r="B491" s="11">
        <v>-6.61</v>
      </c>
    </row>
    <row r="492" spans="1:2" x14ac:dyDescent="0.25">
      <c r="A492" s="4" t="s">
        <v>198</v>
      </c>
      <c r="B492" s="11">
        <v>-7.11</v>
      </c>
    </row>
    <row r="493" spans="1:2" x14ac:dyDescent="0.25">
      <c r="A493" s="4" t="s">
        <v>38</v>
      </c>
      <c r="B493" s="11">
        <v>-7.12</v>
      </c>
    </row>
    <row r="494" spans="1:2" x14ac:dyDescent="0.25">
      <c r="A494" s="4" t="s">
        <v>177</v>
      </c>
      <c r="B494" s="11">
        <v>-7.25</v>
      </c>
    </row>
    <row r="495" spans="1:2" x14ac:dyDescent="0.25">
      <c r="A495" s="4" t="s">
        <v>323</v>
      </c>
      <c r="B495" s="11">
        <v>-7.63</v>
      </c>
    </row>
    <row r="496" spans="1:2" x14ac:dyDescent="0.25">
      <c r="A496" s="4" t="s">
        <v>244</v>
      </c>
      <c r="B496" s="11">
        <v>-7.83</v>
      </c>
    </row>
    <row r="497" spans="1:2" x14ac:dyDescent="0.25">
      <c r="A497" s="4" t="s">
        <v>465</v>
      </c>
      <c r="B497" s="11">
        <v>-7.92</v>
      </c>
    </row>
    <row r="498" spans="1:2" x14ac:dyDescent="0.25">
      <c r="A498" s="4" t="s">
        <v>239</v>
      </c>
      <c r="B498" s="11">
        <v>-8.64</v>
      </c>
    </row>
    <row r="499" spans="1:2" x14ac:dyDescent="0.25">
      <c r="A499" s="4" t="s">
        <v>156</v>
      </c>
      <c r="B499" s="11">
        <v>-8.66</v>
      </c>
    </row>
    <row r="500" spans="1:2" x14ac:dyDescent="0.25">
      <c r="A500" s="4" t="s">
        <v>88</v>
      </c>
      <c r="B500" s="11">
        <v>-9.99</v>
      </c>
    </row>
    <row r="501" spans="1:2" x14ac:dyDescent="0.25">
      <c r="A501" s="4" t="s">
        <v>13</v>
      </c>
      <c r="B501" s="11">
        <v>-11.92</v>
      </c>
    </row>
    <row r="502" spans="1:2" x14ac:dyDescent="0.25">
      <c r="A502" s="4" t="s">
        <v>37</v>
      </c>
      <c r="B502" s="11">
        <v>-12.38</v>
      </c>
    </row>
    <row r="503" spans="1:2" x14ac:dyDescent="0.25">
      <c r="A503" s="4" t="s">
        <v>120</v>
      </c>
      <c r="B503" s="11">
        <v>-14.84</v>
      </c>
    </row>
    <row r="504" spans="1:2" x14ac:dyDescent="0.25">
      <c r="A504" s="4" t="s">
        <v>375</v>
      </c>
      <c r="B504" s="11">
        <v>-22.9</v>
      </c>
    </row>
    <row r="505" spans="1:2" x14ac:dyDescent="0.25">
      <c r="A505" s="4" t="s">
        <v>167</v>
      </c>
      <c r="B505" s="11">
        <v>-24.16</v>
      </c>
    </row>
    <row r="506" spans="1:2" x14ac:dyDescent="0.25">
      <c r="A506" s="4" t="s">
        <v>421</v>
      </c>
      <c r="B506" s="11">
        <v>-49.65</v>
      </c>
    </row>
    <row r="507" spans="1:2" x14ac:dyDescent="0.25">
      <c r="A507" s="4" t="s">
        <v>534</v>
      </c>
      <c r="B507" s="11">
        <v>-265.53000000000003</v>
      </c>
    </row>
  </sheetData>
  <mergeCells count="3">
    <mergeCell ref="A1:B1"/>
    <mergeCell ref="D1:E2"/>
    <mergeCell ref="G1:H2"/>
  </mergeCells>
  <conditionalFormatting sqref="H3:H22">
    <cfRule type="cellIs" dxfId="6" priority="1" operator="lessThan">
      <formula>0</formula>
    </cfRule>
  </conditionalFormatting>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F1FC18C-03CB-4A9F-BC05-0225A5DC1E4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S&amp;P Weighted</vt:lpstr>
      <vt:lpstr>Industry analysis</vt:lpstr>
      <vt:lpstr>Price Changes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 dandrea</dc:creator>
  <cp:lastModifiedBy>tom dandrea</cp:lastModifiedBy>
  <cp:lastPrinted>2022-12-20T16:44:06Z</cp:lastPrinted>
  <dcterms:created xsi:type="dcterms:W3CDTF">2022-11-29T18:42:55Z</dcterms:created>
  <dcterms:modified xsi:type="dcterms:W3CDTF">2022-12-22T17:41:40Z</dcterms:modified>
</cp:coreProperties>
</file>